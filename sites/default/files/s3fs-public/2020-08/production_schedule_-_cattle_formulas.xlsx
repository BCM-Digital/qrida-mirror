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qpd.local\system$\users\MillerJ\Desktop\"/>
    </mc:Choice>
  </mc:AlternateContent>
  <xr:revisionPtr revIDLastSave="0" documentId="8_{508267D6-52C6-4E05-AB7E-563B888C17A0}" xr6:coauthVersionLast="44" xr6:coauthVersionMax="44" xr10:uidLastSave="{00000000-0000-0000-0000-000000000000}"/>
  <bookViews>
    <workbookView xWindow="-120" yWindow="-120" windowWidth="20730" windowHeight="11160" xr2:uid="{15424907-8383-48F7-9BE3-E6E22B74D4BD}"/>
  </bookViews>
  <sheets>
    <sheet name="Cattle Production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Q46" i="1"/>
  <c r="Q48" i="1"/>
  <c r="L53" i="1" l="1"/>
  <c r="M17" i="1"/>
  <c r="J17" i="1"/>
  <c r="H17" i="1"/>
  <c r="G54" i="1"/>
  <c r="H49" i="1"/>
  <c r="H54" i="1" s="1"/>
  <c r="F13" i="1"/>
  <c r="F25" i="1"/>
  <c r="R46" i="1" l="1"/>
  <c r="Q53" i="1"/>
  <c r="R53" i="1" s="1"/>
  <c r="G65" i="1" s="1"/>
  <c r="Q50" i="1"/>
  <c r="R50" i="1" s="1"/>
  <c r="G63" i="1" s="1"/>
  <c r="Q47" i="1"/>
  <c r="R47" i="1" s="1"/>
  <c r="L46" i="1"/>
  <c r="R48" i="1"/>
  <c r="G59" i="1" s="1"/>
  <c r="Q51" i="1"/>
  <c r="R51" i="1" s="1"/>
  <c r="Q52" i="1"/>
  <c r="R52" i="1" s="1"/>
  <c r="G64" i="1" l="1"/>
  <c r="Q64" i="1" s="1"/>
  <c r="R64" i="1" s="1"/>
  <c r="G58" i="1"/>
  <c r="H61" i="1" s="1"/>
  <c r="Q59" i="1"/>
  <c r="R59" i="1" s="1"/>
  <c r="Q65" i="1"/>
  <c r="R65" i="1" s="1"/>
  <c r="Q49" i="1"/>
  <c r="Q63" i="1"/>
  <c r="R63" i="1" s="1"/>
  <c r="G76" i="1" l="1"/>
  <c r="Q76" i="1" s="1"/>
  <c r="R76" i="1" s="1"/>
  <c r="G77" i="1"/>
  <c r="Q77" i="1" s="1"/>
  <c r="R77" i="1" s="1"/>
  <c r="R49" i="1"/>
  <c r="Q54" i="1"/>
  <c r="H66" i="1"/>
  <c r="Q58" i="1"/>
  <c r="P46" i="1"/>
  <c r="R54" i="1" l="1"/>
  <c r="R58" i="1"/>
  <c r="G70" i="1" s="1"/>
  <c r="G60" i="1"/>
  <c r="G62" i="1" s="1"/>
  <c r="Q61" i="1"/>
  <c r="R61" i="1" s="1"/>
  <c r="G72" i="1" s="1"/>
  <c r="G74" i="1" s="1"/>
  <c r="I54" i="1"/>
  <c r="M41" i="1"/>
  <c r="J41" i="1"/>
  <c r="M29" i="1"/>
  <c r="C33" i="1"/>
  <c r="Q60" i="1" l="1"/>
  <c r="R60" i="1" s="1"/>
  <c r="Q74" i="1"/>
  <c r="R74" i="1" s="1"/>
  <c r="Q72" i="1"/>
  <c r="R72" i="1" s="1"/>
  <c r="Q62" i="1"/>
  <c r="P61" i="1"/>
  <c r="M78" i="1"/>
  <c r="I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P78" i="1" s="1"/>
  <c r="L70" i="1"/>
  <c r="L78" i="1" s="1"/>
  <c r="M66" i="1"/>
  <c r="I66" i="1"/>
  <c r="P65" i="1"/>
  <c r="L65" i="1"/>
  <c r="P64" i="1"/>
  <c r="L64" i="1"/>
  <c r="P63" i="1"/>
  <c r="L63" i="1"/>
  <c r="P62" i="1"/>
  <c r="L62" i="1"/>
  <c r="L61" i="1"/>
  <c r="P60" i="1"/>
  <c r="L60" i="1"/>
  <c r="P59" i="1"/>
  <c r="L59" i="1"/>
  <c r="P58" i="1"/>
  <c r="L58" i="1"/>
  <c r="P53" i="1"/>
  <c r="P52" i="1"/>
  <c r="P51" i="1"/>
  <c r="P50" i="1"/>
  <c r="P49" i="1"/>
  <c r="P48" i="1"/>
  <c r="P47" i="1"/>
  <c r="M54" i="1"/>
  <c r="L52" i="1"/>
  <c r="L51" i="1"/>
  <c r="L50" i="1"/>
  <c r="L49" i="1"/>
  <c r="L48" i="1"/>
  <c r="L47" i="1"/>
  <c r="Q71" i="1" l="1"/>
  <c r="R71" i="1" s="1"/>
  <c r="G71" i="1"/>
  <c r="R62" i="1"/>
  <c r="G75" i="1" s="1"/>
  <c r="Q66" i="1"/>
  <c r="G66" i="1"/>
  <c r="Q70" i="1"/>
  <c r="R70" i="1" s="1"/>
  <c r="L66" i="1"/>
  <c r="P66" i="1"/>
  <c r="L54" i="1"/>
  <c r="P54" i="1"/>
  <c r="K41" i="1"/>
  <c r="H41" i="1"/>
  <c r="K29" i="1"/>
  <c r="K17" i="1"/>
  <c r="H29" i="1"/>
  <c r="R66" i="1" l="1"/>
  <c r="G16" i="1"/>
  <c r="G15" i="1"/>
  <c r="G14" i="1"/>
  <c r="G13" i="1"/>
  <c r="G11" i="1"/>
  <c r="G10" i="1"/>
  <c r="G9" i="1"/>
  <c r="G78" i="1" l="1"/>
  <c r="Q75" i="1"/>
  <c r="R75" i="1" s="1"/>
  <c r="H73" i="1"/>
  <c r="H78" i="1" s="1"/>
  <c r="Q73" i="1" l="1"/>
  <c r="R73" i="1" l="1"/>
  <c r="R78" i="1" s="1"/>
  <c r="Q78" i="1"/>
</calcChain>
</file>

<file path=xl/sharedStrings.xml><?xml version="1.0" encoding="utf-8"?>
<sst xmlns="http://schemas.openxmlformats.org/spreadsheetml/2006/main" count="150" uniqueCount="53">
  <si>
    <t>Production Schedule - Cattle</t>
  </si>
  <si>
    <t>Section 2 - Previous three years Sales/Purchases details as per Financial Statements</t>
  </si>
  <si>
    <t xml:space="preserve">Stock Type </t>
  </si>
  <si>
    <t xml:space="preserve">Units </t>
  </si>
  <si>
    <t xml:space="preserve">Sales </t>
  </si>
  <si>
    <t xml:space="preserve">Purchases </t>
  </si>
  <si>
    <t>Weight</t>
  </si>
  <si>
    <t>Amount ($)</t>
  </si>
  <si>
    <t>Units</t>
  </si>
  <si>
    <t xml:space="preserve">Breeders </t>
  </si>
  <si>
    <t>Calves</t>
  </si>
  <si>
    <t>TOTAL</t>
  </si>
  <si>
    <t>Sales</t>
  </si>
  <si>
    <t>Purchases</t>
  </si>
  <si>
    <t>Steers</t>
  </si>
  <si>
    <t xml:space="preserve">Bullocks </t>
  </si>
  <si>
    <t xml:space="preserve">Bulls </t>
  </si>
  <si>
    <t xml:space="preserve">Herd breed: </t>
  </si>
  <si>
    <t>Calving %:</t>
  </si>
  <si>
    <t xml:space="preserve">Section 3 - Stock Flow </t>
  </si>
  <si>
    <t>This financial year as per cashflows</t>
  </si>
  <si>
    <t>Stock Type</t>
  </si>
  <si>
    <t>Purchase No.</t>
  </si>
  <si>
    <t>$/kg</t>
  </si>
  <si>
    <t>Sale No.</t>
  </si>
  <si>
    <t>Deaths</t>
  </si>
  <si>
    <t>Next financial year as per cashflows</t>
  </si>
  <si>
    <t>YIYO</t>
  </si>
  <si>
    <t>Year Ended</t>
  </si>
  <si>
    <r>
      <rPr>
        <b/>
        <sz val="11"/>
        <color rgb="FF514863"/>
        <rFont val="Arial"/>
        <family val="2"/>
      </rPr>
      <t>Please ensure the sales and purchase amounts correspond to your financial statements or cash book figures</t>
    </r>
    <r>
      <rPr>
        <sz val="11"/>
        <color rgb="FF514863"/>
        <rFont val="Arial"/>
        <family val="2"/>
      </rPr>
      <t xml:space="preserve">
For information on the current and future financial year, please use estimates.
Please complete Sections 1,2 and 3.
ENTER DATA IN WHITE CELLS ONLY</t>
    </r>
  </si>
  <si>
    <t>Section 1 - Current stock</t>
  </si>
  <si>
    <t xml:space="preserve">1st calf heifers </t>
  </si>
  <si>
    <t>Yearling heifers</t>
  </si>
  <si>
    <t>Yearling steers</t>
  </si>
  <si>
    <t xml:space="preserve">Stock type </t>
  </si>
  <si>
    <t>Carrying capacity 
(Express as no. head / AE)</t>
  </si>
  <si>
    <t xml:space="preserve">1st Calf heifers </t>
  </si>
  <si>
    <t>Opening stock</t>
  </si>
  <si>
    <t xml:space="preserve">Natural increase </t>
  </si>
  <si>
    <t>Closing stock</t>
  </si>
  <si>
    <t>Stock type</t>
  </si>
  <si>
    <t>Deaths %</t>
  </si>
  <si>
    <t>Breeder Calving %</t>
  </si>
  <si>
    <t>1st Calf Hfr Calving %</t>
  </si>
  <si>
    <t>Please amend the below if required:</t>
  </si>
  <si>
    <t>&lt; Closing breeders carried over to YR2</t>
  </si>
  <si>
    <t>&lt; Closing FCH transferred to breeders in YR2</t>
  </si>
  <si>
    <t>&lt; Closing y/heifers transferred to FCH in YR2</t>
  </si>
  <si>
    <t>&lt; Closing calves split equally and transferred to y/heifers &amp; y/steers in YR2</t>
  </si>
  <si>
    <t>&lt; Closing y/steers transferred to steers in YR2</t>
  </si>
  <si>
    <t>&lt; Closing steers transferred to bullocks in YR2</t>
  </si>
  <si>
    <t>&lt; Closing bullocks carried over to YR2</t>
  </si>
  <si>
    <t>&lt; Closing bulls carried over to YR2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</si>
</sst>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30/06/&quot;0000"/>
    <numFmt numFmtId="165" formatCode="&quot;$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485163"/>
      <name val="Arial"/>
      <family val="2"/>
    </font>
    <font>
      <sz val="11"/>
      <color rgb="FF485163"/>
      <name val="Arial"/>
      <family val="2"/>
    </font>
    <font>
      <sz val="11"/>
      <color rgb="FF514863"/>
      <name val="Arial"/>
      <family val="2"/>
    </font>
    <font>
      <b/>
      <sz val="11"/>
      <color rgb="FF514863"/>
      <name val="Arial"/>
      <family val="2"/>
    </font>
    <font>
      <b/>
      <sz val="14"/>
      <color theme="0"/>
      <name val="Arial"/>
      <family val="2"/>
    </font>
    <font>
      <sz val="11"/>
      <color theme="1"/>
      <name val="Calibri"/>
      <family val="2"/>
      <scheme val="minor"/>
    </font>
    <font>
      <b/>
      <sz val="20"/>
      <color rgb="FF514863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1"/>
      <color theme="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8516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14863"/>
        <bgColor indexed="64"/>
      </patternFill>
    </fill>
  </fills>
  <borders count="54">
    <border>
      <left/>
      <right/>
      <top/>
      <bottom/>
      <diagonal/>
    </border>
    <border>
      <left style="thin">
        <color rgb="FF485163"/>
      </left>
      <right/>
      <top style="thin">
        <color rgb="FF485163"/>
      </top>
      <bottom/>
      <diagonal/>
    </border>
    <border>
      <left/>
      <right/>
      <top style="thin">
        <color rgb="FF485163"/>
      </top>
      <bottom/>
      <diagonal/>
    </border>
    <border>
      <left/>
      <right style="thin">
        <color rgb="FF485163"/>
      </right>
      <top style="thin">
        <color rgb="FF485163"/>
      </top>
      <bottom/>
      <diagonal/>
    </border>
    <border>
      <left style="thin">
        <color rgb="FF485163"/>
      </left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rgb="FF485163"/>
      </left>
      <right style="thin">
        <color rgb="FF485163"/>
      </right>
      <top style="thin">
        <color rgb="FF485163"/>
      </top>
      <bottom/>
      <diagonal/>
    </border>
    <border>
      <left style="thin">
        <color rgb="FF485163"/>
      </left>
      <right/>
      <top style="thin">
        <color rgb="FF485163"/>
      </top>
      <bottom style="thin">
        <color rgb="FF485163"/>
      </bottom>
      <diagonal/>
    </border>
    <border>
      <left/>
      <right/>
      <top style="thin">
        <color rgb="FF485163"/>
      </top>
      <bottom style="thin">
        <color rgb="FF485163"/>
      </bottom>
      <diagonal/>
    </border>
    <border>
      <left/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rgb="FF485163"/>
      </left>
      <right style="thin">
        <color rgb="FF485163"/>
      </right>
      <top/>
      <bottom style="thin">
        <color rgb="FF485163"/>
      </bottom>
      <diagonal/>
    </border>
    <border>
      <left/>
      <right/>
      <top/>
      <bottom style="thin">
        <color rgb="FF485163"/>
      </bottom>
      <diagonal/>
    </border>
    <border>
      <left style="thin">
        <color rgb="FF485163"/>
      </left>
      <right style="thin">
        <color rgb="FF485163"/>
      </right>
      <top/>
      <bottom/>
      <diagonal/>
    </border>
    <border>
      <left style="thin">
        <color rgb="FF485163"/>
      </left>
      <right/>
      <top/>
      <bottom style="thin">
        <color rgb="FF485163"/>
      </bottom>
      <diagonal/>
    </border>
    <border>
      <left style="thin">
        <color rgb="FF485163"/>
      </left>
      <right/>
      <top/>
      <bottom/>
      <diagonal/>
    </border>
    <border>
      <left/>
      <right style="thin">
        <color rgb="FF485163"/>
      </right>
      <top/>
      <bottom/>
      <diagonal/>
    </border>
    <border>
      <left/>
      <right style="thin">
        <color rgb="FF485163"/>
      </right>
      <top/>
      <bottom style="thin">
        <color rgb="FF4851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85163"/>
      </left>
      <right style="thin">
        <color rgb="FF485163"/>
      </right>
      <top style="thin">
        <color rgb="FF514863"/>
      </top>
      <bottom/>
      <diagonal/>
    </border>
    <border>
      <left/>
      <right/>
      <top/>
      <bottom style="thin">
        <color rgb="FF514863"/>
      </bottom>
      <diagonal/>
    </border>
    <border>
      <left style="thin">
        <color indexed="64"/>
      </left>
      <right style="thin">
        <color rgb="FF514863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51486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485163"/>
      </left>
      <right style="thin">
        <color rgb="FF514863"/>
      </right>
      <top style="thin">
        <color rgb="FF485163"/>
      </top>
      <bottom style="thin">
        <color rgb="FF485163"/>
      </bottom>
      <diagonal/>
    </border>
    <border>
      <left/>
      <right style="thin">
        <color rgb="FF514863"/>
      </right>
      <top style="thin">
        <color rgb="FF485163"/>
      </top>
      <bottom style="thin">
        <color rgb="FF485163"/>
      </bottom>
      <diagonal/>
    </border>
    <border>
      <left style="thin">
        <color rgb="FF485163"/>
      </left>
      <right style="thin">
        <color rgb="FF514863"/>
      </right>
      <top style="thin">
        <color rgb="FF485163"/>
      </top>
      <bottom/>
      <diagonal/>
    </border>
    <border>
      <left style="thin">
        <color rgb="FF485163"/>
      </left>
      <right style="thin">
        <color rgb="FF514863"/>
      </right>
      <top/>
      <bottom style="thin">
        <color rgb="FF485163"/>
      </bottom>
      <diagonal/>
    </border>
    <border>
      <left style="thin">
        <color rgb="FF514863"/>
      </left>
      <right style="thin">
        <color rgb="FF485163"/>
      </right>
      <top style="thin">
        <color rgb="FF485163"/>
      </top>
      <bottom style="thin">
        <color rgb="FF514863"/>
      </bottom>
      <diagonal/>
    </border>
    <border>
      <left style="thin">
        <color rgb="FF514863"/>
      </left>
      <right style="thin">
        <color rgb="FF485163"/>
      </right>
      <top style="thin">
        <color rgb="FF485163"/>
      </top>
      <bottom style="thin">
        <color rgb="FF485163"/>
      </bottom>
      <diagonal/>
    </border>
    <border>
      <left/>
      <right/>
      <top style="thin">
        <color rgb="FF485163"/>
      </top>
      <bottom style="thin">
        <color rgb="FF514863"/>
      </bottom>
      <diagonal/>
    </border>
    <border>
      <left style="thin">
        <color rgb="FF514863"/>
      </left>
      <right style="thin">
        <color rgb="FF485163"/>
      </right>
      <top style="thin">
        <color rgb="FF485163"/>
      </top>
      <bottom/>
      <diagonal/>
    </border>
    <border>
      <left style="thin">
        <color rgb="FF514863"/>
      </left>
      <right style="thin">
        <color rgb="FF485163"/>
      </right>
      <top/>
      <bottom style="thin">
        <color rgb="FF485163"/>
      </bottom>
      <diagonal/>
    </border>
    <border>
      <left style="thin">
        <color rgb="FF514863"/>
      </left>
      <right style="thin">
        <color rgb="FF514863"/>
      </right>
      <top/>
      <bottom style="thin">
        <color rgb="FF514863"/>
      </bottom>
      <diagonal/>
    </border>
    <border>
      <left style="thin">
        <color rgb="FF514863"/>
      </left>
      <right/>
      <top/>
      <bottom/>
      <diagonal/>
    </border>
    <border>
      <left style="thin">
        <color rgb="FF514863"/>
      </left>
      <right/>
      <top/>
      <bottom style="thin">
        <color rgb="FF514863"/>
      </bottom>
      <diagonal/>
    </border>
    <border>
      <left/>
      <right style="thin">
        <color rgb="FF514863"/>
      </right>
      <top/>
      <bottom style="thin">
        <color rgb="FF514863"/>
      </bottom>
      <diagonal/>
    </border>
    <border>
      <left style="thin">
        <color rgb="FF514863"/>
      </left>
      <right/>
      <top style="thin">
        <color rgb="FF514863"/>
      </top>
      <bottom/>
      <diagonal/>
    </border>
    <border>
      <left/>
      <right/>
      <top style="thin">
        <color rgb="FF514863"/>
      </top>
      <bottom/>
      <diagonal/>
    </border>
    <border>
      <left/>
      <right style="thin">
        <color rgb="FF514863"/>
      </right>
      <top style="thin">
        <color rgb="FF514863"/>
      </top>
      <bottom/>
      <diagonal/>
    </border>
    <border>
      <left style="thin">
        <color rgb="FF514863"/>
      </left>
      <right style="thin">
        <color rgb="FF485163"/>
      </right>
      <top/>
      <bottom/>
      <diagonal/>
    </border>
    <border>
      <left/>
      <right/>
      <top style="thin">
        <color rgb="FF514863"/>
      </top>
      <bottom style="thin">
        <color rgb="FF514863"/>
      </bottom>
      <diagonal/>
    </border>
    <border>
      <left style="thin">
        <color rgb="FF514863"/>
      </left>
      <right style="thin">
        <color rgb="FF514863"/>
      </right>
      <top style="thin">
        <color rgb="FF514863"/>
      </top>
      <bottom/>
      <diagonal/>
    </border>
    <border>
      <left style="thin">
        <color rgb="FF514863"/>
      </left>
      <right style="thin">
        <color rgb="FF514863"/>
      </right>
      <top/>
      <bottom/>
      <diagonal/>
    </border>
    <border>
      <left style="thin">
        <color rgb="FF514863"/>
      </left>
      <right style="thin">
        <color rgb="FF485163"/>
      </right>
      <top style="thin">
        <color rgb="FF514863"/>
      </top>
      <bottom/>
      <diagonal/>
    </border>
    <border>
      <left style="thin">
        <color rgb="FF485163"/>
      </left>
      <right/>
      <top style="thin">
        <color rgb="FF485163"/>
      </top>
      <bottom style="thin">
        <color rgb="FF5148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1" fillId="3" borderId="6" xfId="0" applyFont="1" applyFill="1" applyBorder="1"/>
    <xf numFmtId="0" fontId="1" fillId="3" borderId="7" xfId="0" applyFont="1" applyFill="1" applyBorder="1"/>
    <xf numFmtId="0" fontId="3" fillId="4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9" xfId="0" applyFont="1" applyFill="1" applyBorder="1"/>
    <xf numFmtId="0" fontId="1" fillId="2" borderId="18" xfId="0" applyFont="1" applyFill="1" applyBorder="1"/>
    <xf numFmtId="0" fontId="1" fillId="2" borderId="21" xfId="0" applyFont="1" applyFill="1" applyBorder="1"/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right" vertical="center"/>
    </xf>
    <xf numFmtId="0" fontId="5" fillId="4" borderId="12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/>
    </xf>
    <xf numFmtId="0" fontId="3" fillId="4" borderId="23" xfId="0" applyFont="1" applyFill="1" applyBorder="1" applyAlignment="1">
      <alignment horizontal="center"/>
    </xf>
    <xf numFmtId="0" fontId="4" fillId="4" borderId="28" xfId="0" applyFont="1" applyFill="1" applyBorder="1" applyAlignment="1">
      <alignment vertical="center"/>
    </xf>
    <xf numFmtId="0" fontId="3" fillId="4" borderId="28" xfId="0" applyFont="1" applyFill="1" applyBorder="1"/>
    <xf numFmtId="0" fontId="1" fillId="2" borderId="40" xfId="0" applyFont="1" applyFill="1" applyBorder="1"/>
    <xf numFmtId="0" fontId="1" fillId="2" borderId="0" xfId="0" applyFont="1" applyFill="1" applyBorder="1"/>
    <xf numFmtId="0" fontId="3" fillId="2" borderId="0" xfId="0" applyFont="1" applyFill="1" applyBorder="1" applyAlignment="1">
      <alignment vertical="center" wrapText="1"/>
    </xf>
    <xf numFmtId="0" fontId="1" fillId="2" borderId="2" xfId="0" applyFont="1" applyFill="1" applyBorder="1"/>
    <xf numFmtId="0" fontId="3" fillId="4" borderId="15" xfId="0" applyFont="1" applyFill="1" applyBorder="1" applyAlignment="1">
      <alignment vertical="center"/>
    </xf>
    <xf numFmtId="0" fontId="5" fillId="2" borderId="4" xfId="0" applyFont="1" applyFill="1" applyBorder="1" applyAlignment="1" applyProtection="1">
      <alignment horizontal="right" vertical="center"/>
      <protection locked="0"/>
    </xf>
    <xf numFmtId="0" fontId="5" fillId="2" borderId="23" xfId="0" applyFont="1" applyFill="1" applyBorder="1" applyAlignment="1" applyProtection="1">
      <alignment horizontal="right" vertical="center"/>
      <protection locked="0"/>
    </xf>
    <xf numFmtId="0" fontId="5" fillId="2" borderId="8" xfId="0" applyFont="1" applyFill="1" applyBorder="1" applyAlignment="1" applyProtection="1">
      <alignment horizontal="right" vertical="center"/>
      <protection locked="0"/>
    </xf>
    <xf numFmtId="0" fontId="5" fillId="2" borderId="24" xfId="0" applyFont="1" applyFill="1" applyBorder="1" applyAlignment="1" applyProtection="1">
      <alignment horizontal="right" vertical="center"/>
      <protection locked="0"/>
    </xf>
    <xf numFmtId="0" fontId="5" fillId="2" borderId="4" xfId="0" applyFont="1" applyFill="1" applyBorder="1" applyAlignment="1" applyProtection="1">
      <alignment horizontal="right"/>
      <protection locked="0"/>
    </xf>
    <xf numFmtId="0" fontId="5" fillId="2" borderId="23" xfId="0" applyFont="1" applyFill="1" applyBorder="1" applyAlignment="1" applyProtection="1">
      <alignment horizontal="right"/>
      <protection locked="0"/>
    </xf>
    <xf numFmtId="0" fontId="7" fillId="3" borderId="44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9" fillId="2" borderId="0" xfId="0" applyFont="1" applyFill="1"/>
    <xf numFmtId="10" fontId="1" fillId="2" borderId="0" xfId="0" applyNumberFormat="1" applyFont="1" applyFill="1"/>
    <xf numFmtId="0" fontId="5" fillId="4" borderId="4" xfId="0" applyFont="1" applyFill="1" applyBorder="1" applyAlignment="1" applyProtection="1">
      <alignment horizontal="right"/>
      <protection locked="0"/>
    </xf>
    <xf numFmtId="0" fontId="1" fillId="4" borderId="48" xfId="0" applyFont="1" applyFill="1" applyBorder="1" applyAlignment="1">
      <alignment horizontal="right"/>
    </xf>
    <xf numFmtId="0" fontId="10" fillId="4" borderId="49" xfId="0" applyFont="1" applyFill="1" applyBorder="1" applyAlignment="1">
      <alignment horizontal="right"/>
    </xf>
    <xf numFmtId="10" fontId="11" fillId="2" borderId="50" xfId="0" applyNumberFormat="1" applyFont="1" applyFill="1" applyBorder="1" applyProtection="1">
      <protection locked="0"/>
    </xf>
    <xf numFmtId="10" fontId="11" fillId="2" borderId="53" xfId="2" applyNumberFormat="1" applyFont="1" applyFill="1" applyBorder="1" applyProtection="1">
      <protection locked="0"/>
    </xf>
    <xf numFmtId="164" fontId="3" fillId="2" borderId="42" xfId="0" applyNumberFormat="1" applyFont="1" applyFill="1" applyBorder="1" applyAlignment="1" applyProtection="1">
      <alignment horizontal="center" vertical="center" wrapText="1"/>
      <protection locked="0"/>
    </xf>
    <xf numFmtId="165" fontId="5" fillId="4" borderId="15" xfId="1" applyNumberFormat="1" applyFont="1" applyFill="1" applyBorder="1" applyAlignment="1" applyProtection="1">
      <alignment horizontal="right"/>
      <protection locked="0"/>
    </xf>
    <xf numFmtId="165" fontId="5" fillId="4" borderId="4" xfId="0" applyNumberFormat="1" applyFont="1" applyFill="1" applyBorder="1" applyAlignment="1">
      <alignment horizontal="right"/>
    </xf>
    <xf numFmtId="165" fontId="1" fillId="2" borderId="0" xfId="0" applyNumberFormat="1" applyFont="1" applyFill="1"/>
    <xf numFmtId="165" fontId="3" fillId="4" borderId="5" xfId="0" applyNumberFormat="1" applyFont="1" applyFill="1" applyBorder="1" applyAlignment="1">
      <alignment horizontal="center" vertical="center"/>
    </xf>
    <xf numFmtId="165" fontId="5" fillId="4" borderId="4" xfId="1" applyNumberFormat="1" applyFont="1" applyFill="1" applyBorder="1" applyAlignment="1" applyProtection="1">
      <alignment horizontal="right"/>
      <protection locked="0"/>
    </xf>
    <xf numFmtId="165" fontId="5" fillId="2" borderId="4" xfId="1" applyNumberFormat="1" applyFont="1" applyFill="1" applyBorder="1" applyAlignment="1" applyProtection="1">
      <alignment horizontal="right" vertical="center"/>
      <protection locked="0"/>
    </xf>
    <xf numFmtId="165" fontId="5" fillId="4" borderId="9" xfId="0" applyNumberFormat="1" applyFont="1" applyFill="1" applyBorder="1" applyAlignment="1">
      <alignment horizontal="right" vertical="center"/>
    </xf>
    <xf numFmtId="165" fontId="1" fillId="2" borderId="0" xfId="0" applyNumberFormat="1" applyFont="1" applyFill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/>
    </xf>
    <xf numFmtId="165" fontId="3" fillId="4" borderId="4" xfId="0" applyNumberFormat="1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right" vertical="center"/>
    </xf>
    <xf numFmtId="165" fontId="5" fillId="2" borderId="23" xfId="1" applyNumberFormat="1" applyFont="1" applyFill="1" applyBorder="1" applyAlignment="1" applyProtection="1">
      <alignment horizontal="right" vertical="center"/>
      <protection locked="0"/>
    </xf>
    <xf numFmtId="165" fontId="1" fillId="2" borderId="0" xfId="0" applyNumberFormat="1" applyFont="1" applyFill="1" applyAlignment="1">
      <alignment vertical="center"/>
    </xf>
    <xf numFmtId="165" fontId="3" fillId="4" borderId="4" xfId="0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12" fillId="5" borderId="45" xfId="0" applyFont="1" applyFill="1" applyBorder="1" applyAlignment="1">
      <alignment horizontal="left"/>
    </xf>
    <xf numFmtId="0" fontId="12" fillId="5" borderId="46" xfId="0" applyFont="1" applyFill="1" applyBorder="1" applyAlignment="1">
      <alignment horizontal="left"/>
    </xf>
    <xf numFmtId="0" fontId="12" fillId="5" borderId="47" xfId="0" applyFont="1" applyFill="1" applyBorder="1" applyAlignment="1">
      <alignment horizontal="left"/>
    </xf>
    <xf numFmtId="0" fontId="5" fillId="2" borderId="0" xfId="0" applyFont="1" applyFill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165" fontId="3" fillId="4" borderId="5" xfId="0" applyNumberFormat="1" applyFont="1" applyFill="1" applyBorder="1" applyAlignment="1">
      <alignment horizontal="center" vertical="center"/>
    </xf>
    <xf numFmtId="165" fontId="3" fillId="4" borderId="9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4" borderId="3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0" fontId="3" fillId="4" borderId="5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0" fillId="4" borderId="51" xfId="0" applyFont="1" applyFill="1" applyBorder="1" applyAlignment="1">
      <alignment horizontal="right"/>
    </xf>
    <xf numFmtId="0" fontId="10" fillId="4" borderId="52" xfId="0" applyFont="1" applyFill="1" applyBorder="1" applyAlignment="1">
      <alignment horizontal="right"/>
    </xf>
    <xf numFmtId="0" fontId="7" fillId="3" borderId="22" xfId="0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left" vertical="center"/>
    </xf>
    <xf numFmtId="0" fontId="7" fillId="3" borderId="19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3" fillId="4" borderId="43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wrapText="1"/>
    </xf>
    <xf numFmtId="0" fontId="3" fillId="4" borderId="42" xfId="0" applyFont="1" applyFill="1" applyBorder="1" applyAlignment="1">
      <alignment horizontal="center" wrapText="1"/>
    </xf>
    <xf numFmtId="0" fontId="3" fillId="4" borderId="42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5148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A459-1C79-40E2-A896-8F5971A5BB06}">
  <dimension ref="A2:S80"/>
  <sheetViews>
    <sheetView tabSelected="1" zoomScale="85" zoomScaleNormal="85" workbookViewId="0">
      <selection activeCell="P6" sqref="P6"/>
    </sheetView>
  </sheetViews>
  <sheetFormatPr defaultRowHeight="14.25" x14ac:dyDescent="0.2"/>
  <cols>
    <col min="1" max="1" width="9.140625" style="1"/>
    <col min="2" max="2" width="18.28515625" style="1" customWidth="1"/>
    <col min="3" max="4" width="25.7109375" style="1" customWidth="1"/>
    <col min="5" max="5" width="9.140625" style="1"/>
    <col min="6" max="18" width="16.7109375" style="1" customWidth="1"/>
    <col min="19" max="19" width="64.7109375" style="1" bestFit="1" customWidth="1"/>
    <col min="20" max="16384" width="9.140625" style="1"/>
  </cols>
  <sheetData>
    <row r="2" spans="1:18" ht="26.25" x14ac:dyDescent="0.4">
      <c r="B2" s="44" t="s">
        <v>0</v>
      </c>
      <c r="Q2" s="45"/>
    </row>
    <row r="4" spans="1:18" ht="59.25" customHeight="1" x14ac:dyDescent="0.2">
      <c r="B4" s="70" t="s">
        <v>29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</row>
    <row r="5" spans="1:18" x14ac:dyDescent="0.2">
      <c r="B5" s="20"/>
      <c r="C5" s="20"/>
      <c r="D5" s="20"/>
    </row>
    <row r="6" spans="1:18" ht="18" x14ac:dyDescent="0.2">
      <c r="A6" s="21"/>
      <c r="B6" s="129" t="s">
        <v>30</v>
      </c>
      <c r="C6" s="130"/>
      <c r="D6" s="131"/>
      <c r="E6" s="132"/>
      <c r="F6" s="133" t="s">
        <v>1</v>
      </c>
      <c r="G6" s="134"/>
      <c r="H6" s="134"/>
      <c r="I6" s="134"/>
      <c r="J6" s="134"/>
      <c r="K6" s="134"/>
      <c r="L6" s="134"/>
      <c r="M6" s="134"/>
    </row>
    <row r="7" spans="1:18" ht="15" customHeight="1" x14ac:dyDescent="0.25">
      <c r="A7" s="21"/>
      <c r="B7" s="135" t="s">
        <v>2</v>
      </c>
      <c r="C7" s="136" t="s">
        <v>3</v>
      </c>
      <c r="D7" s="73" t="s">
        <v>35</v>
      </c>
      <c r="E7" s="132"/>
      <c r="F7" s="137" t="s">
        <v>28</v>
      </c>
      <c r="G7" s="76" t="s">
        <v>34</v>
      </c>
      <c r="H7" s="115" t="s">
        <v>4</v>
      </c>
      <c r="I7" s="116"/>
      <c r="J7" s="117"/>
      <c r="K7" s="115" t="s">
        <v>5</v>
      </c>
      <c r="L7" s="116"/>
      <c r="M7" s="117"/>
    </row>
    <row r="8" spans="1:18" ht="15" x14ac:dyDescent="0.25">
      <c r="A8" s="21"/>
      <c r="B8" s="94"/>
      <c r="C8" s="74"/>
      <c r="D8" s="74"/>
      <c r="E8" s="132"/>
      <c r="F8" s="138"/>
      <c r="G8" s="78"/>
      <c r="H8" s="4" t="s">
        <v>3</v>
      </c>
      <c r="I8" s="5" t="s">
        <v>6</v>
      </c>
      <c r="J8" s="60" t="s">
        <v>7</v>
      </c>
      <c r="K8" s="4" t="s">
        <v>8</v>
      </c>
      <c r="L8" s="4" t="s">
        <v>6</v>
      </c>
      <c r="M8" s="55" t="s">
        <v>7</v>
      </c>
    </row>
    <row r="9" spans="1:18" ht="14.25" customHeight="1" x14ac:dyDescent="0.2">
      <c r="A9" s="21"/>
      <c r="B9" s="112" t="s">
        <v>9</v>
      </c>
      <c r="C9" s="109"/>
      <c r="D9" s="102"/>
      <c r="E9" s="132"/>
      <c r="F9" s="138"/>
      <c r="G9" s="13" t="str">
        <f>B9</f>
        <v xml:space="preserve">Breeders </v>
      </c>
      <c r="H9" s="36"/>
      <c r="I9" s="36"/>
      <c r="J9" s="57"/>
      <c r="K9" s="36"/>
      <c r="L9" s="36"/>
      <c r="M9" s="57"/>
    </row>
    <row r="10" spans="1:18" ht="14.25" customHeight="1" x14ac:dyDescent="0.2">
      <c r="A10" s="21"/>
      <c r="B10" s="113"/>
      <c r="C10" s="110"/>
      <c r="D10" s="103"/>
      <c r="E10" s="132"/>
      <c r="F10" s="138"/>
      <c r="G10" s="13" t="str">
        <f>B12</f>
        <v xml:space="preserve">1st calf heifers </v>
      </c>
      <c r="H10" s="36"/>
      <c r="I10" s="36"/>
      <c r="J10" s="57"/>
      <c r="K10" s="36"/>
      <c r="L10" s="36"/>
      <c r="M10" s="57"/>
    </row>
    <row r="11" spans="1:18" ht="14.25" customHeight="1" x14ac:dyDescent="0.2">
      <c r="B11" s="108"/>
      <c r="C11" s="111"/>
      <c r="D11" s="104"/>
      <c r="E11" s="132"/>
      <c r="F11" s="138"/>
      <c r="G11" s="13" t="str">
        <f>B15</f>
        <v>Yearling heifers</v>
      </c>
      <c r="H11" s="36"/>
      <c r="I11" s="36"/>
      <c r="J11" s="57"/>
      <c r="K11" s="36"/>
      <c r="L11" s="36"/>
      <c r="M11" s="57"/>
    </row>
    <row r="12" spans="1:18" ht="14.25" customHeight="1" x14ac:dyDescent="0.2">
      <c r="B12" s="106" t="s">
        <v>31</v>
      </c>
      <c r="C12" s="109"/>
      <c r="D12" s="102"/>
      <c r="E12" s="132"/>
      <c r="F12" s="138"/>
      <c r="G12" s="13" t="s">
        <v>10</v>
      </c>
      <c r="H12" s="36"/>
      <c r="I12" s="36"/>
      <c r="J12" s="57"/>
      <c r="K12" s="36"/>
      <c r="L12" s="36"/>
      <c r="M12" s="57"/>
    </row>
    <row r="13" spans="1:18" ht="14.25" customHeight="1" x14ac:dyDescent="0.2">
      <c r="B13" s="107"/>
      <c r="C13" s="110"/>
      <c r="D13" s="103"/>
      <c r="E13" s="132"/>
      <c r="F13" s="51">
        <f>+F25-1</f>
        <v>2018</v>
      </c>
      <c r="G13" s="13" t="str">
        <f>B21</f>
        <v>Yearling steers</v>
      </c>
      <c r="H13" s="36"/>
      <c r="I13" s="36"/>
      <c r="J13" s="57"/>
      <c r="K13" s="36"/>
      <c r="L13" s="36"/>
      <c r="M13" s="57"/>
    </row>
    <row r="14" spans="1:18" ht="14.25" customHeight="1" x14ac:dyDescent="0.2">
      <c r="B14" s="108"/>
      <c r="C14" s="111"/>
      <c r="D14" s="104"/>
      <c r="E14" s="132"/>
      <c r="F14" s="139"/>
      <c r="G14" s="13" t="str">
        <f>B24</f>
        <v>Steers</v>
      </c>
      <c r="H14" s="36"/>
      <c r="I14" s="36"/>
      <c r="J14" s="57"/>
      <c r="K14" s="36"/>
      <c r="L14" s="36"/>
      <c r="M14" s="57"/>
    </row>
    <row r="15" spans="1:18" ht="14.25" customHeight="1" x14ac:dyDescent="0.2">
      <c r="B15" s="106" t="s">
        <v>32</v>
      </c>
      <c r="C15" s="109"/>
      <c r="D15" s="102"/>
      <c r="E15" s="132"/>
      <c r="F15" s="139"/>
      <c r="G15" s="13" t="str">
        <f>B27</f>
        <v xml:space="preserve">Bullocks </v>
      </c>
      <c r="H15" s="36"/>
      <c r="I15" s="36"/>
      <c r="J15" s="57"/>
      <c r="K15" s="36"/>
      <c r="L15" s="36"/>
      <c r="M15" s="57"/>
    </row>
    <row r="16" spans="1:18" ht="14.25" customHeight="1" x14ac:dyDescent="0.2">
      <c r="B16" s="107"/>
      <c r="C16" s="110"/>
      <c r="D16" s="103"/>
      <c r="E16" s="132"/>
      <c r="F16" s="139"/>
      <c r="G16" s="13" t="str">
        <f>B30</f>
        <v xml:space="preserve">Bulls </v>
      </c>
      <c r="H16" s="36"/>
      <c r="I16" s="36"/>
      <c r="J16" s="57"/>
      <c r="K16" s="36"/>
      <c r="L16" s="36"/>
      <c r="M16" s="57"/>
    </row>
    <row r="17" spans="2:13" ht="15" x14ac:dyDescent="0.2">
      <c r="B17" s="108"/>
      <c r="C17" s="111"/>
      <c r="D17" s="104"/>
      <c r="E17" s="132"/>
      <c r="F17" s="140"/>
      <c r="G17" s="35" t="s">
        <v>11</v>
      </c>
      <c r="H17" s="24">
        <f>SUM(H9:H16)</f>
        <v>0</v>
      </c>
      <c r="I17" s="25"/>
      <c r="J17" s="58">
        <f>SUM(J9:J16)</f>
        <v>0</v>
      </c>
      <c r="K17" s="24">
        <f>SUM(K9:K16)</f>
        <v>0</v>
      </c>
      <c r="L17" s="24"/>
      <c r="M17" s="58">
        <f>SUM(M9:M16)</f>
        <v>0</v>
      </c>
    </row>
    <row r="18" spans="2:13" ht="15" x14ac:dyDescent="0.2">
      <c r="B18" s="106" t="s">
        <v>10</v>
      </c>
      <c r="C18" s="109"/>
      <c r="D18" s="102"/>
      <c r="E18" s="132"/>
      <c r="F18" s="7"/>
      <c r="G18" s="8"/>
      <c r="H18" s="9"/>
      <c r="I18" s="10"/>
      <c r="J18" s="59"/>
      <c r="K18" s="9"/>
      <c r="L18" s="9"/>
      <c r="M18" s="59"/>
    </row>
    <row r="19" spans="2:13" ht="15" customHeight="1" x14ac:dyDescent="0.25">
      <c r="B19" s="107"/>
      <c r="C19" s="110"/>
      <c r="D19" s="103"/>
      <c r="E19" s="132"/>
      <c r="F19" s="137" t="s">
        <v>28</v>
      </c>
      <c r="G19" s="83" t="s">
        <v>34</v>
      </c>
      <c r="H19" s="115" t="s">
        <v>12</v>
      </c>
      <c r="I19" s="116"/>
      <c r="J19" s="117"/>
      <c r="K19" s="115" t="s">
        <v>13</v>
      </c>
      <c r="L19" s="116"/>
      <c r="M19" s="117"/>
    </row>
    <row r="20" spans="2:13" ht="15" x14ac:dyDescent="0.25">
      <c r="B20" s="108"/>
      <c r="C20" s="111"/>
      <c r="D20" s="103"/>
      <c r="E20" s="132"/>
      <c r="F20" s="138"/>
      <c r="G20" s="74"/>
      <c r="H20" s="11" t="s">
        <v>3</v>
      </c>
      <c r="I20" s="11" t="s">
        <v>6</v>
      </c>
      <c r="J20" s="61" t="s">
        <v>7</v>
      </c>
      <c r="K20" s="11" t="s">
        <v>8</v>
      </c>
      <c r="L20" s="11" t="s">
        <v>6</v>
      </c>
      <c r="M20" s="65" t="s">
        <v>7</v>
      </c>
    </row>
    <row r="21" spans="2:13" ht="14.25" customHeight="1" x14ac:dyDescent="0.2">
      <c r="B21" s="106" t="s">
        <v>33</v>
      </c>
      <c r="C21" s="118"/>
      <c r="D21" s="105"/>
      <c r="E21" s="132"/>
      <c r="F21" s="138"/>
      <c r="G21" s="6" t="s">
        <v>9</v>
      </c>
      <c r="H21" s="36"/>
      <c r="I21" s="36"/>
      <c r="J21" s="57"/>
      <c r="K21" s="36"/>
      <c r="L21" s="36"/>
      <c r="M21" s="57"/>
    </row>
    <row r="22" spans="2:13" ht="14.25" customHeight="1" x14ac:dyDescent="0.2">
      <c r="B22" s="107"/>
      <c r="C22" s="119"/>
      <c r="D22" s="105"/>
      <c r="E22" s="132"/>
      <c r="F22" s="138"/>
      <c r="G22" s="6" t="s">
        <v>36</v>
      </c>
      <c r="H22" s="36"/>
      <c r="I22" s="36"/>
      <c r="J22" s="57"/>
      <c r="K22" s="36"/>
      <c r="L22" s="36"/>
      <c r="M22" s="57"/>
    </row>
    <row r="23" spans="2:13" ht="14.25" customHeight="1" x14ac:dyDescent="0.2">
      <c r="B23" s="108"/>
      <c r="C23" s="120"/>
      <c r="D23" s="105"/>
      <c r="E23" s="132"/>
      <c r="F23" s="138"/>
      <c r="G23" s="6" t="s">
        <v>32</v>
      </c>
      <c r="H23" s="36"/>
      <c r="I23" s="36"/>
      <c r="J23" s="57"/>
      <c r="K23" s="36"/>
      <c r="L23" s="36"/>
      <c r="M23" s="57"/>
    </row>
    <row r="24" spans="2:13" ht="14.25" customHeight="1" x14ac:dyDescent="0.2">
      <c r="B24" s="106" t="s">
        <v>14</v>
      </c>
      <c r="C24" s="118"/>
      <c r="D24" s="105"/>
      <c r="E24" s="132"/>
      <c r="F24" s="138"/>
      <c r="G24" s="6" t="s">
        <v>10</v>
      </c>
      <c r="H24" s="36"/>
      <c r="I24" s="36"/>
      <c r="J24" s="57"/>
      <c r="K24" s="36"/>
      <c r="L24" s="36"/>
      <c r="M24" s="57"/>
    </row>
    <row r="25" spans="2:13" ht="14.25" customHeight="1" x14ac:dyDescent="0.2">
      <c r="B25" s="107"/>
      <c r="C25" s="119"/>
      <c r="D25" s="105"/>
      <c r="E25" s="132"/>
      <c r="F25" s="51">
        <f>+F37-1</f>
        <v>2019</v>
      </c>
      <c r="G25" s="6" t="s">
        <v>33</v>
      </c>
      <c r="H25" s="36"/>
      <c r="I25" s="36"/>
      <c r="J25" s="57"/>
      <c r="K25" s="36"/>
      <c r="L25" s="36"/>
      <c r="M25" s="57"/>
    </row>
    <row r="26" spans="2:13" ht="14.25" customHeight="1" x14ac:dyDescent="0.2">
      <c r="B26" s="108"/>
      <c r="C26" s="120"/>
      <c r="D26" s="105"/>
      <c r="E26" s="132"/>
      <c r="F26" s="139"/>
      <c r="G26" s="6" t="s">
        <v>14</v>
      </c>
      <c r="H26" s="36"/>
      <c r="I26" s="36"/>
      <c r="J26" s="57"/>
      <c r="K26" s="36"/>
      <c r="L26" s="36"/>
      <c r="M26" s="57"/>
    </row>
    <row r="27" spans="2:13" ht="14.25" customHeight="1" x14ac:dyDescent="0.2">
      <c r="B27" s="106" t="s">
        <v>15</v>
      </c>
      <c r="C27" s="118"/>
      <c r="D27" s="105"/>
      <c r="E27" s="132"/>
      <c r="F27" s="139"/>
      <c r="G27" s="6" t="s">
        <v>15</v>
      </c>
      <c r="H27" s="36"/>
      <c r="I27" s="36"/>
      <c r="J27" s="57"/>
      <c r="K27" s="36"/>
      <c r="L27" s="36"/>
      <c r="M27" s="57"/>
    </row>
    <row r="28" spans="2:13" ht="14.25" customHeight="1" x14ac:dyDescent="0.2">
      <c r="B28" s="107"/>
      <c r="C28" s="119"/>
      <c r="D28" s="105"/>
      <c r="E28" s="132"/>
      <c r="F28" s="139"/>
      <c r="G28" s="6" t="s">
        <v>16</v>
      </c>
      <c r="H28" s="36"/>
      <c r="I28" s="36"/>
      <c r="J28" s="57"/>
      <c r="K28" s="36"/>
      <c r="L28" s="36"/>
      <c r="M28" s="57"/>
    </row>
    <row r="29" spans="2:13" ht="15" x14ac:dyDescent="0.2">
      <c r="B29" s="108"/>
      <c r="C29" s="120"/>
      <c r="D29" s="105"/>
      <c r="E29" s="132"/>
      <c r="F29" s="140"/>
      <c r="G29" s="12" t="s">
        <v>11</v>
      </c>
      <c r="H29" s="26">
        <f>SUM(H21:H28)</f>
        <v>0</v>
      </c>
      <c r="I29" s="26"/>
      <c r="J29" s="62">
        <f>SUM(J21:J28)</f>
        <v>0</v>
      </c>
      <c r="K29" s="26">
        <f>SUM(K21:K28)</f>
        <v>0</v>
      </c>
      <c r="L29" s="26"/>
      <c r="M29" s="62">
        <f>SUM(M21:M28)</f>
        <v>0</v>
      </c>
    </row>
    <row r="30" spans="2:13" ht="15" x14ac:dyDescent="0.2">
      <c r="B30" s="106" t="s">
        <v>16</v>
      </c>
      <c r="C30" s="118"/>
      <c r="D30" s="105"/>
      <c r="E30" s="132"/>
      <c r="F30" s="7"/>
      <c r="G30" s="8"/>
      <c r="H30" s="9"/>
      <c r="I30" s="10"/>
      <c r="J30" s="59"/>
      <c r="K30" s="9"/>
      <c r="L30" s="9"/>
      <c r="M30" s="59"/>
    </row>
    <row r="31" spans="2:13" ht="15" customHeight="1" x14ac:dyDescent="0.25">
      <c r="B31" s="107"/>
      <c r="C31" s="119"/>
      <c r="D31" s="105"/>
      <c r="E31" s="132"/>
      <c r="F31" s="137" t="s">
        <v>28</v>
      </c>
      <c r="G31" s="76" t="s">
        <v>2</v>
      </c>
      <c r="H31" s="115" t="s">
        <v>12</v>
      </c>
      <c r="I31" s="116"/>
      <c r="J31" s="117"/>
      <c r="K31" s="115" t="s">
        <v>13</v>
      </c>
      <c r="L31" s="116"/>
      <c r="M31" s="117"/>
    </row>
    <row r="32" spans="2:13" ht="15" x14ac:dyDescent="0.25">
      <c r="B32" s="108"/>
      <c r="C32" s="120"/>
      <c r="D32" s="105"/>
      <c r="E32" s="132"/>
      <c r="F32" s="138"/>
      <c r="G32" s="78"/>
      <c r="H32" s="11" t="s">
        <v>3</v>
      </c>
      <c r="I32" s="11" t="s">
        <v>6</v>
      </c>
      <c r="J32" s="61" t="s">
        <v>7</v>
      </c>
      <c r="K32" s="28" t="s">
        <v>8</v>
      </c>
      <c r="L32" s="3" t="s">
        <v>6</v>
      </c>
      <c r="M32" s="65" t="s">
        <v>7</v>
      </c>
    </row>
    <row r="33" spans="1:19" ht="14.25" customHeight="1" x14ac:dyDescent="0.2">
      <c r="B33" s="121" t="s">
        <v>11</v>
      </c>
      <c r="C33" s="124">
        <f>SUM(C9:C32)</f>
        <v>0</v>
      </c>
      <c r="D33" s="114"/>
      <c r="E33" s="132"/>
      <c r="F33" s="138"/>
      <c r="G33" s="13" t="s">
        <v>9</v>
      </c>
      <c r="H33" s="36"/>
      <c r="I33" s="36"/>
      <c r="J33" s="57"/>
      <c r="K33" s="37"/>
      <c r="L33" s="38"/>
      <c r="M33" s="57"/>
    </row>
    <row r="34" spans="1:19" ht="14.25" customHeight="1" x14ac:dyDescent="0.2">
      <c r="B34" s="122"/>
      <c r="C34" s="125"/>
      <c r="D34" s="114"/>
      <c r="E34" s="132"/>
      <c r="F34" s="138"/>
      <c r="G34" s="13" t="s">
        <v>36</v>
      </c>
      <c r="H34" s="36"/>
      <c r="I34" s="36"/>
      <c r="J34" s="57"/>
      <c r="K34" s="37"/>
      <c r="L34" s="38"/>
      <c r="M34" s="57"/>
    </row>
    <row r="35" spans="1:19" ht="14.25" customHeight="1" x14ac:dyDescent="0.2">
      <c r="B35" s="123"/>
      <c r="C35" s="126"/>
      <c r="D35" s="114"/>
      <c r="E35" s="132"/>
      <c r="F35" s="138"/>
      <c r="G35" s="13" t="s">
        <v>32</v>
      </c>
      <c r="H35" s="36"/>
      <c r="I35" s="36"/>
      <c r="J35" s="63"/>
      <c r="K35" s="39"/>
      <c r="L35" s="38"/>
      <c r="M35" s="57"/>
    </row>
    <row r="36" spans="1:19" ht="14.25" customHeight="1" x14ac:dyDescent="0.2">
      <c r="B36" s="14"/>
      <c r="C36" s="15"/>
      <c r="D36" s="19"/>
      <c r="E36" s="132"/>
      <c r="F36" s="138"/>
      <c r="G36" s="13" t="s">
        <v>10</v>
      </c>
      <c r="H36" s="36"/>
      <c r="I36" s="36"/>
      <c r="J36" s="57"/>
      <c r="K36" s="37"/>
      <c r="L36" s="38"/>
      <c r="M36" s="57"/>
    </row>
    <row r="37" spans="1:19" ht="14.25" customHeight="1" x14ac:dyDescent="0.2">
      <c r="B37" s="14"/>
      <c r="C37" s="15"/>
      <c r="D37" s="19"/>
      <c r="E37" s="132"/>
      <c r="F37" s="51">
        <v>2020</v>
      </c>
      <c r="G37" s="13" t="s">
        <v>33</v>
      </c>
      <c r="H37" s="36"/>
      <c r="I37" s="36"/>
      <c r="J37" s="57"/>
      <c r="K37" s="37"/>
      <c r="L37" s="38"/>
      <c r="M37" s="57"/>
    </row>
    <row r="38" spans="1:19" ht="14.25" customHeight="1" x14ac:dyDescent="0.2">
      <c r="B38" s="75" t="s">
        <v>17</v>
      </c>
      <c r="C38" s="76"/>
      <c r="D38" s="79"/>
      <c r="E38" s="132"/>
      <c r="F38" s="139"/>
      <c r="G38" s="13" t="s">
        <v>14</v>
      </c>
      <c r="H38" s="36"/>
      <c r="I38" s="36"/>
      <c r="J38" s="57"/>
      <c r="K38" s="36"/>
      <c r="L38" s="36"/>
      <c r="M38" s="57"/>
      <c r="P38" s="67" t="s">
        <v>44</v>
      </c>
      <c r="Q38" s="68"/>
      <c r="R38" s="69"/>
    </row>
    <row r="39" spans="1:19" ht="14.25" customHeight="1" x14ac:dyDescent="0.25">
      <c r="B39" s="77"/>
      <c r="C39" s="78"/>
      <c r="D39" s="80"/>
      <c r="E39" s="132"/>
      <c r="F39" s="139"/>
      <c r="G39" s="13" t="s">
        <v>15</v>
      </c>
      <c r="H39" s="36"/>
      <c r="I39" s="36"/>
      <c r="J39" s="57"/>
      <c r="K39" s="36"/>
      <c r="L39" s="36"/>
      <c r="M39" s="57"/>
      <c r="P39" s="127" t="s">
        <v>42</v>
      </c>
      <c r="Q39" s="128"/>
      <c r="R39" s="50">
        <v>0.8</v>
      </c>
    </row>
    <row r="40" spans="1:19" ht="14.25" customHeight="1" x14ac:dyDescent="0.25">
      <c r="B40" s="75" t="s">
        <v>18</v>
      </c>
      <c r="C40" s="76"/>
      <c r="D40" s="79"/>
      <c r="E40" s="132"/>
      <c r="F40" s="139"/>
      <c r="G40" s="13" t="s">
        <v>16</v>
      </c>
      <c r="H40" s="36"/>
      <c r="I40" s="36"/>
      <c r="J40" s="57"/>
      <c r="K40" s="36"/>
      <c r="L40" s="36"/>
      <c r="M40" s="57"/>
      <c r="P40" s="127" t="s">
        <v>43</v>
      </c>
      <c r="Q40" s="128"/>
      <c r="R40" s="50">
        <v>0.7</v>
      </c>
    </row>
    <row r="41" spans="1:19" ht="15" x14ac:dyDescent="0.25">
      <c r="B41" s="77"/>
      <c r="C41" s="78"/>
      <c r="D41" s="80"/>
      <c r="E41" s="132"/>
      <c r="F41" s="140"/>
      <c r="G41" s="16" t="s">
        <v>11</v>
      </c>
      <c r="H41" s="26">
        <f>SUM(H33:H40)</f>
        <v>0</v>
      </c>
      <c r="I41" s="26"/>
      <c r="J41" s="62">
        <f>SUM(J33:J40)</f>
        <v>0</v>
      </c>
      <c r="K41" s="26">
        <f>SUM(K33:K40)</f>
        <v>0</v>
      </c>
      <c r="L41" s="26"/>
      <c r="M41" s="62">
        <f>SUM(M33:M40)</f>
        <v>0</v>
      </c>
      <c r="P41" s="47"/>
      <c r="Q41" s="48" t="s">
        <v>41</v>
      </c>
      <c r="R41" s="49">
        <v>0.02</v>
      </c>
    </row>
    <row r="42" spans="1:19" ht="15" x14ac:dyDescent="0.2">
      <c r="C42" s="17"/>
      <c r="D42" s="2"/>
      <c r="E42" s="132"/>
      <c r="F42" s="7"/>
      <c r="G42" s="8"/>
      <c r="H42" s="18"/>
      <c r="I42" s="8"/>
      <c r="J42" s="64"/>
      <c r="K42" s="18"/>
      <c r="L42" s="18"/>
      <c r="M42" s="64"/>
    </row>
    <row r="43" spans="1:19" ht="18" x14ac:dyDescent="0.2">
      <c r="B43" s="42" t="s">
        <v>19</v>
      </c>
      <c r="C43" s="43"/>
      <c r="D43" s="43"/>
      <c r="E43" s="43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3"/>
    </row>
    <row r="44" spans="1:19" x14ac:dyDescent="0.2">
      <c r="A44" s="21"/>
      <c r="B44" s="87" t="s">
        <v>20</v>
      </c>
      <c r="C44" s="88"/>
      <c r="D44" s="88"/>
      <c r="E44" s="89"/>
      <c r="F44" s="100" t="s">
        <v>21</v>
      </c>
      <c r="G44" s="96" t="s">
        <v>37</v>
      </c>
      <c r="H44" s="96" t="s">
        <v>38</v>
      </c>
      <c r="I44" s="96" t="s">
        <v>22</v>
      </c>
      <c r="J44" s="95" t="s">
        <v>6</v>
      </c>
      <c r="K44" s="98" t="s">
        <v>23</v>
      </c>
      <c r="L44" s="100" t="s">
        <v>7</v>
      </c>
      <c r="M44" s="95" t="s">
        <v>24</v>
      </c>
      <c r="N44" s="95" t="s">
        <v>6</v>
      </c>
      <c r="O44" s="83" t="s">
        <v>23</v>
      </c>
      <c r="P44" s="95" t="s">
        <v>7</v>
      </c>
      <c r="Q44" s="95" t="s">
        <v>25</v>
      </c>
      <c r="R44" s="96" t="s">
        <v>39</v>
      </c>
    </row>
    <row r="45" spans="1:19" x14ac:dyDescent="0.2">
      <c r="A45" s="21"/>
      <c r="B45" s="87"/>
      <c r="C45" s="88"/>
      <c r="D45" s="88"/>
      <c r="E45" s="89"/>
      <c r="F45" s="100"/>
      <c r="G45" s="96"/>
      <c r="H45" s="96"/>
      <c r="I45" s="96"/>
      <c r="J45" s="95"/>
      <c r="K45" s="99"/>
      <c r="L45" s="101"/>
      <c r="M45" s="95"/>
      <c r="N45" s="95"/>
      <c r="O45" s="74"/>
      <c r="P45" s="95"/>
      <c r="Q45" s="95"/>
      <c r="R45" s="96"/>
    </row>
    <row r="46" spans="1:19" x14ac:dyDescent="0.2">
      <c r="A46" s="21"/>
      <c r="B46" s="87"/>
      <c r="C46" s="88"/>
      <c r="D46" s="88"/>
      <c r="E46" s="89"/>
      <c r="F46" s="29" t="s">
        <v>9</v>
      </c>
      <c r="G46" s="40"/>
      <c r="H46" s="46"/>
      <c r="I46" s="40"/>
      <c r="J46" s="40"/>
      <c r="K46" s="41"/>
      <c r="L46" s="52">
        <f>I46*J46*K46</f>
        <v>0</v>
      </c>
      <c r="M46" s="40"/>
      <c r="N46" s="40"/>
      <c r="O46" s="40"/>
      <c r="P46" s="56">
        <f>M46*N46*O46</f>
        <v>0</v>
      </c>
      <c r="Q46" s="46">
        <f>ROUND((G46+H46+I46-M46)*$R$41,0)</f>
        <v>0</v>
      </c>
      <c r="R46" s="46">
        <f t="shared" ref="R46:R52" si="0">ROUND(G46+H46+I46-M46-Q46,0)</f>
        <v>0</v>
      </c>
      <c r="S46" s="66" t="s">
        <v>45</v>
      </c>
    </row>
    <row r="47" spans="1:19" x14ac:dyDescent="0.2">
      <c r="A47" s="21"/>
      <c r="B47" s="87"/>
      <c r="C47" s="88"/>
      <c r="D47" s="88"/>
      <c r="E47" s="89"/>
      <c r="F47" s="29" t="s">
        <v>31</v>
      </c>
      <c r="G47" s="40"/>
      <c r="H47" s="46"/>
      <c r="I47" s="40"/>
      <c r="J47" s="40"/>
      <c r="K47" s="40"/>
      <c r="L47" s="52">
        <f t="shared" ref="L47:L52" si="1">I47*J47*K47</f>
        <v>0</v>
      </c>
      <c r="M47" s="40"/>
      <c r="N47" s="40"/>
      <c r="O47" s="40"/>
      <c r="P47" s="56">
        <f t="shared" ref="P47:P53" si="2">M47*N47*O47</f>
        <v>0</v>
      </c>
      <c r="Q47" s="46">
        <f t="shared" ref="Q47" si="3">ROUND((G47+H47+I47-M47)*$R$41,0)</f>
        <v>0</v>
      </c>
      <c r="R47" s="46">
        <f t="shared" si="0"/>
        <v>0</v>
      </c>
      <c r="S47" s="66" t="s">
        <v>46</v>
      </c>
    </row>
    <row r="48" spans="1:19" x14ac:dyDescent="0.2">
      <c r="A48" s="21"/>
      <c r="B48" s="87"/>
      <c r="C48" s="88"/>
      <c r="D48" s="88"/>
      <c r="E48" s="89"/>
      <c r="F48" s="29" t="s">
        <v>32</v>
      </c>
      <c r="G48" s="40"/>
      <c r="H48" s="46"/>
      <c r="I48" s="40"/>
      <c r="J48" s="40"/>
      <c r="K48" s="40"/>
      <c r="L48" s="52">
        <f t="shared" si="1"/>
        <v>0</v>
      </c>
      <c r="M48" s="40"/>
      <c r="N48" s="40"/>
      <c r="O48" s="40"/>
      <c r="P48" s="56">
        <f t="shared" si="2"/>
        <v>0</v>
      </c>
      <c r="Q48" s="46">
        <f>ROUND((G48+H48+I48-M48)*$R$41,0)</f>
        <v>0</v>
      </c>
      <c r="R48" s="46">
        <f t="shared" si="0"/>
        <v>0</v>
      </c>
      <c r="S48" s="66" t="s">
        <v>47</v>
      </c>
    </row>
    <row r="49" spans="1:19" x14ac:dyDescent="0.2">
      <c r="A49" s="21"/>
      <c r="B49" s="87"/>
      <c r="C49" s="88"/>
      <c r="D49" s="88"/>
      <c r="E49" s="89"/>
      <c r="F49" s="29" t="s">
        <v>10</v>
      </c>
      <c r="G49" s="40"/>
      <c r="H49" s="46">
        <f>ROUND(((G46*$R$39))+((G47*$R$40)),0)</f>
        <v>0</v>
      </c>
      <c r="I49" s="40"/>
      <c r="J49" s="40"/>
      <c r="K49" s="40"/>
      <c r="L49" s="52">
        <f t="shared" si="1"/>
        <v>0</v>
      </c>
      <c r="M49" s="40"/>
      <c r="N49" s="40"/>
      <c r="O49" s="40"/>
      <c r="P49" s="56">
        <f t="shared" si="2"/>
        <v>0</v>
      </c>
      <c r="Q49" s="46">
        <f>ROUND((G49+H49+I49-M49)*$R$41,0)</f>
        <v>0</v>
      </c>
      <c r="R49" s="46">
        <f t="shared" si="0"/>
        <v>0</v>
      </c>
      <c r="S49" s="66" t="s">
        <v>48</v>
      </c>
    </row>
    <row r="50" spans="1:19" x14ac:dyDescent="0.2">
      <c r="A50" s="21"/>
      <c r="B50" s="87"/>
      <c r="C50" s="88"/>
      <c r="D50" s="88"/>
      <c r="E50" s="89"/>
      <c r="F50" s="29" t="s">
        <v>33</v>
      </c>
      <c r="G50" s="40"/>
      <c r="H50" s="46"/>
      <c r="I50" s="40"/>
      <c r="J50" s="40"/>
      <c r="K50" s="40"/>
      <c r="L50" s="52">
        <f t="shared" si="1"/>
        <v>0</v>
      </c>
      <c r="M50" s="40"/>
      <c r="N50" s="40"/>
      <c r="O50" s="40"/>
      <c r="P50" s="56">
        <f t="shared" si="2"/>
        <v>0</v>
      </c>
      <c r="Q50" s="46">
        <f t="shared" ref="Q50:Q53" si="4">ROUND((G50+H50+I50-M50)*$R$41,0)</f>
        <v>0</v>
      </c>
      <c r="R50" s="46">
        <f t="shared" si="0"/>
        <v>0</v>
      </c>
      <c r="S50" s="66" t="s">
        <v>49</v>
      </c>
    </row>
    <row r="51" spans="1:19" x14ac:dyDescent="0.2">
      <c r="A51" s="21"/>
      <c r="B51" s="87"/>
      <c r="C51" s="88"/>
      <c r="D51" s="88"/>
      <c r="E51" s="89"/>
      <c r="F51" s="29" t="s">
        <v>14</v>
      </c>
      <c r="G51" s="40"/>
      <c r="H51" s="46"/>
      <c r="I51" s="40"/>
      <c r="J51" s="40"/>
      <c r="K51" s="40"/>
      <c r="L51" s="52">
        <f t="shared" si="1"/>
        <v>0</v>
      </c>
      <c r="M51" s="40"/>
      <c r="N51" s="40"/>
      <c r="O51" s="40"/>
      <c r="P51" s="56">
        <f t="shared" si="2"/>
        <v>0</v>
      </c>
      <c r="Q51" s="46">
        <f t="shared" si="4"/>
        <v>0</v>
      </c>
      <c r="R51" s="46">
        <f t="shared" si="0"/>
        <v>0</v>
      </c>
      <c r="S51" s="66" t="s">
        <v>50</v>
      </c>
    </row>
    <row r="52" spans="1:19" x14ac:dyDescent="0.2">
      <c r="A52" s="21"/>
      <c r="B52" s="87"/>
      <c r="C52" s="88"/>
      <c r="D52" s="88"/>
      <c r="E52" s="89"/>
      <c r="F52" s="29" t="s">
        <v>15</v>
      </c>
      <c r="G52" s="40"/>
      <c r="H52" s="46"/>
      <c r="I52" s="40"/>
      <c r="J52" s="40"/>
      <c r="K52" s="40"/>
      <c r="L52" s="52">
        <f t="shared" si="1"/>
        <v>0</v>
      </c>
      <c r="M52" s="40"/>
      <c r="N52" s="40"/>
      <c r="O52" s="40"/>
      <c r="P52" s="56">
        <f t="shared" si="2"/>
        <v>0</v>
      </c>
      <c r="Q52" s="46">
        <f t="shared" si="4"/>
        <v>0</v>
      </c>
      <c r="R52" s="46">
        <f t="shared" si="0"/>
        <v>0</v>
      </c>
      <c r="S52" s="66" t="s">
        <v>51</v>
      </c>
    </row>
    <row r="53" spans="1:19" x14ac:dyDescent="0.2">
      <c r="A53" s="21"/>
      <c r="B53" s="87"/>
      <c r="C53" s="88"/>
      <c r="D53" s="88"/>
      <c r="E53" s="89"/>
      <c r="F53" s="29" t="s">
        <v>16</v>
      </c>
      <c r="G53" s="40"/>
      <c r="H53" s="46"/>
      <c r="I53" s="40"/>
      <c r="J53" s="40"/>
      <c r="K53" s="40"/>
      <c r="L53" s="52">
        <f>I53*J53*K53</f>
        <v>0</v>
      </c>
      <c r="M53" s="40"/>
      <c r="N53" s="40"/>
      <c r="O53" s="40"/>
      <c r="P53" s="56">
        <f t="shared" si="2"/>
        <v>0</v>
      </c>
      <c r="Q53" s="46">
        <f t="shared" si="4"/>
        <v>0</v>
      </c>
      <c r="R53" s="46">
        <f t="shared" ref="R53" si="5">ROUND(G53+H53+I53-M53-Q53,0)</f>
        <v>0</v>
      </c>
      <c r="S53" s="66" t="s">
        <v>52</v>
      </c>
    </row>
    <row r="54" spans="1:19" ht="15" x14ac:dyDescent="0.25">
      <c r="A54" s="21"/>
      <c r="B54" s="90"/>
      <c r="C54" s="91"/>
      <c r="D54" s="91"/>
      <c r="E54" s="92"/>
      <c r="F54" s="30" t="s">
        <v>11</v>
      </c>
      <c r="G54" s="27">
        <f>SUM(G46:G53)</f>
        <v>0</v>
      </c>
      <c r="H54" s="27">
        <f>SUM(H46:H53)</f>
        <v>0</v>
      </c>
      <c r="I54" s="27">
        <f>SUM(I46:I53)</f>
        <v>0</v>
      </c>
      <c r="J54" s="27"/>
      <c r="K54" s="27"/>
      <c r="L54" s="53">
        <f>SUM(L46:L53)</f>
        <v>0</v>
      </c>
      <c r="M54" s="27">
        <f>ROUND(SUM(M46:M53),0)</f>
        <v>0</v>
      </c>
      <c r="N54" s="27"/>
      <c r="O54" s="27"/>
      <c r="P54" s="53">
        <f>SUM(P46:P53)</f>
        <v>0</v>
      </c>
      <c r="Q54" s="46">
        <f>SUM(Q46:Q53)</f>
        <v>0</v>
      </c>
      <c r="R54" s="27">
        <f>SUM(R46:R53)</f>
        <v>0</v>
      </c>
    </row>
    <row r="55" spans="1:19" ht="15" x14ac:dyDescent="0.2">
      <c r="B55" s="33"/>
      <c r="C55" s="32"/>
      <c r="E55" s="20"/>
      <c r="L55" s="54"/>
      <c r="P55" s="54"/>
    </row>
    <row r="56" spans="1:19" ht="14.25" customHeight="1" x14ac:dyDescent="0.2">
      <c r="A56" s="21"/>
      <c r="B56" s="84" t="s">
        <v>26</v>
      </c>
      <c r="C56" s="85"/>
      <c r="D56" s="85"/>
      <c r="E56" s="85"/>
      <c r="F56" s="97" t="s">
        <v>40</v>
      </c>
      <c r="G56" s="71" t="s">
        <v>37</v>
      </c>
      <c r="H56" s="71" t="s">
        <v>38</v>
      </c>
      <c r="I56" s="71" t="s">
        <v>22</v>
      </c>
      <c r="J56" s="83" t="s">
        <v>6</v>
      </c>
      <c r="K56" s="83" t="s">
        <v>23</v>
      </c>
      <c r="L56" s="81" t="s">
        <v>7</v>
      </c>
      <c r="M56" s="83" t="s">
        <v>24</v>
      </c>
      <c r="N56" s="83" t="s">
        <v>6</v>
      </c>
      <c r="O56" s="83" t="s">
        <v>23</v>
      </c>
      <c r="P56" s="81" t="s">
        <v>7</v>
      </c>
      <c r="Q56" s="83" t="s">
        <v>25</v>
      </c>
      <c r="R56" s="71" t="s">
        <v>39</v>
      </c>
    </row>
    <row r="57" spans="1:19" ht="14.25" customHeight="1" x14ac:dyDescent="0.2">
      <c r="A57" s="21"/>
      <c r="B57" s="87"/>
      <c r="C57" s="88"/>
      <c r="D57" s="88"/>
      <c r="E57" s="88"/>
      <c r="F57" s="94"/>
      <c r="G57" s="72"/>
      <c r="H57" s="72"/>
      <c r="I57" s="72"/>
      <c r="J57" s="74"/>
      <c r="K57" s="74"/>
      <c r="L57" s="82"/>
      <c r="M57" s="74"/>
      <c r="N57" s="74"/>
      <c r="O57" s="74"/>
      <c r="P57" s="82"/>
      <c r="Q57" s="74"/>
      <c r="R57" s="72"/>
    </row>
    <row r="58" spans="1:19" x14ac:dyDescent="0.2">
      <c r="A58" s="21"/>
      <c r="B58" s="87"/>
      <c r="C58" s="88"/>
      <c r="D58" s="88"/>
      <c r="E58" s="88"/>
      <c r="F58" s="29" t="s">
        <v>9</v>
      </c>
      <c r="G58" s="40">
        <f>+R46+R47</f>
        <v>0</v>
      </c>
      <c r="H58" s="46"/>
      <c r="I58" s="40"/>
      <c r="J58" s="40"/>
      <c r="K58" s="41"/>
      <c r="L58" s="52">
        <f t="shared" ref="L58:L65" si="6">I58*J58*K58</f>
        <v>0</v>
      </c>
      <c r="M58" s="40"/>
      <c r="N58" s="40"/>
      <c r="O58" s="40"/>
      <c r="P58" s="56">
        <f t="shared" ref="P58:P65" si="7">M58*N58*O58</f>
        <v>0</v>
      </c>
      <c r="Q58" s="46">
        <f t="shared" ref="Q58:Q59" si="8">ROUND((G58+H58+I58-M58)*$R$41,0)</f>
        <v>0</v>
      </c>
      <c r="R58" s="46">
        <f>ROUND(G58+H58+I58-M58-Q58,0)</f>
        <v>0</v>
      </c>
    </row>
    <row r="59" spans="1:19" x14ac:dyDescent="0.2">
      <c r="A59" s="21"/>
      <c r="B59" s="87"/>
      <c r="C59" s="88"/>
      <c r="D59" s="88"/>
      <c r="E59" s="88"/>
      <c r="F59" s="29" t="s">
        <v>36</v>
      </c>
      <c r="G59" s="40">
        <f>+R48</f>
        <v>0</v>
      </c>
      <c r="H59" s="46"/>
      <c r="I59" s="40"/>
      <c r="J59" s="40"/>
      <c r="K59" s="40"/>
      <c r="L59" s="52">
        <f t="shared" si="6"/>
        <v>0</v>
      </c>
      <c r="M59" s="40"/>
      <c r="N59" s="40"/>
      <c r="O59" s="40"/>
      <c r="P59" s="56">
        <f t="shared" si="7"/>
        <v>0</v>
      </c>
      <c r="Q59" s="46">
        <f t="shared" si="8"/>
        <v>0</v>
      </c>
      <c r="R59" s="46">
        <f t="shared" ref="R59:R65" si="9">ROUND(G59+H59+I59-M59-Q59,0)</f>
        <v>0</v>
      </c>
    </row>
    <row r="60" spans="1:19" x14ac:dyDescent="0.2">
      <c r="A60" s="21"/>
      <c r="B60" s="87"/>
      <c r="C60" s="88"/>
      <c r="D60" s="88"/>
      <c r="E60" s="88"/>
      <c r="F60" s="29" t="s">
        <v>32</v>
      </c>
      <c r="G60" s="40">
        <f>+ROUND(R49/2,0)</f>
        <v>0</v>
      </c>
      <c r="H60" s="46"/>
      <c r="I60" s="40"/>
      <c r="J60" s="40"/>
      <c r="K60" s="40"/>
      <c r="L60" s="52">
        <f t="shared" si="6"/>
        <v>0</v>
      </c>
      <c r="M60" s="40"/>
      <c r="N60" s="40"/>
      <c r="O60" s="40"/>
      <c r="P60" s="56">
        <f t="shared" si="7"/>
        <v>0</v>
      </c>
      <c r="Q60" s="46">
        <f>ROUND((G60+H60+I60-M60)*$R$41,0)</f>
        <v>0</v>
      </c>
      <c r="R60" s="46">
        <f t="shared" si="9"/>
        <v>0</v>
      </c>
    </row>
    <row r="61" spans="1:19" x14ac:dyDescent="0.2">
      <c r="A61" s="21"/>
      <c r="B61" s="87"/>
      <c r="C61" s="88"/>
      <c r="D61" s="88"/>
      <c r="E61" s="88"/>
      <c r="F61" s="29" t="s">
        <v>10</v>
      </c>
      <c r="G61" s="40"/>
      <c r="H61" s="46">
        <f>ROUND(((G58*$R$39))+((G59*$R$40)),0)</f>
        <v>0</v>
      </c>
      <c r="I61" s="40"/>
      <c r="J61" s="40"/>
      <c r="K61" s="40"/>
      <c r="L61" s="52">
        <f t="shared" si="6"/>
        <v>0</v>
      </c>
      <c r="M61" s="40"/>
      <c r="N61" s="40"/>
      <c r="O61" s="40"/>
      <c r="P61" s="56">
        <f t="shared" si="7"/>
        <v>0</v>
      </c>
      <c r="Q61" s="46">
        <f t="shared" ref="Q61:Q65" si="10">ROUND((G61+H61+I61-M61)*$R$41,0)</f>
        <v>0</v>
      </c>
      <c r="R61" s="46">
        <f t="shared" si="9"/>
        <v>0</v>
      </c>
    </row>
    <row r="62" spans="1:19" x14ac:dyDescent="0.2">
      <c r="A62" s="21"/>
      <c r="B62" s="87"/>
      <c r="C62" s="88"/>
      <c r="D62" s="88"/>
      <c r="E62" s="88"/>
      <c r="F62" s="29" t="s">
        <v>33</v>
      </c>
      <c r="G62" s="40">
        <f>+R49-G60</f>
        <v>0</v>
      </c>
      <c r="H62" s="46"/>
      <c r="I62" s="40"/>
      <c r="J62" s="40"/>
      <c r="K62" s="40"/>
      <c r="L62" s="52">
        <f t="shared" si="6"/>
        <v>0</v>
      </c>
      <c r="M62" s="40"/>
      <c r="N62" s="40"/>
      <c r="O62" s="40"/>
      <c r="P62" s="56">
        <f t="shared" si="7"/>
        <v>0</v>
      </c>
      <c r="Q62" s="46">
        <f t="shared" si="10"/>
        <v>0</v>
      </c>
      <c r="R62" s="46">
        <f t="shared" si="9"/>
        <v>0</v>
      </c>
    </row>
    <row r="63" spans="1:19" x14ac:dyDescent="0.2">
      <c r="A63" s="21"/>
      <c r="B63" s="87"/>
      <c r="C63" s="88"/>
      <c r="D63" s="88"/>
      <c r="E63" s="88"/>
      <c r="F63" s="29" t="s">
        <v>14</v>
      </c>
      <c r="G63" s="40">
        <f>+R50</f>
        <v>0</v>
      </c>
      <c r="H63" s="46"/>
      <c r="I63" s="40"/>
      <c r="J63" s="40"/>
      <c r="K63" s="40"/>
      <c r="L63" s="52">
        <f t="shared" si="6"/>
        <v>0</v>
      </c>
      <c r="M63" s="40"/>
      <c r="N63" s="40"/>
      <c r="O63" s="40"/>
      <c r="P63" s="56">
        <f t="shared" si="7"/>
        <v>0</v>
      </c>
      <c r="Q63" s="46">
        <f t="shared" si="10"/>
        <v>0</v>
      </c>
      <c r="R63" s="46">
        <f t="shared" si="9"/>
        <v>0</v>
      </c>
    </row>
    <row r="64" spans="1:19" x14ac:dyDescent="0.2">
      <c r="A64" s="21"/>
      <c r="B64" s="87"/>
      <c r="C64" s="88"/>
      <c r="D64" s="88"/>
      <c r="E64" s="88"/>
      <c r="F64" s="29" t="s">
        <v>15</v>
      </c>
      <c r="G64" s="40">
        <f>R51+R52</f>
        <v>0</v>
      </c>
      <c r="H64" s="46"/>
      <c r="I64" s="40"/>
      <c r="J64" s="40"/>
      <c r="K64" s="40"/>
      <c r="L64" s="52">
        <f t="shared" si="6"/>
        <v>0</v>
      </c>
      <c r="M64" s="40"/>
      <c r="N64" s="40"/>
      <c r="O64" s="40"/>
      <c r="P64" s="56">
        <f t="shared" si="7"/>
        <v>0</v>
      </c>
      <c r="Q64" s="46">
        <f t="shared" si="10"/>
        <v>0</v>
      </c>
      <c r="R64" s="46">
        <f t="shared" si="9"/>
        <v>0</v>
      </c>
    </row>
    <row r="65" spans="1:18" x14ac:dyDescent="0.2">
      <c r="A65" s="21"/>
      <c r="B65" s="87"/>
      <c r="C65" s="88"/>
      <c r="D65" s="88"/>
      <c r="E65" s="88"/>
      <c r="F65" s="29" t="s">
        <v>16</v>
      </c>
      <c r="G65" s="40">
        <f>+R53</f>
        <v>0</v>
      </c>
      <c r="H65" s="46"/>
      <c r="I65" s="40"/>
      <c r="J65" s="40"/>
      <c r="K65" s="40"/>
      <c r="L65" s="52">
        <f t="shared" si="6"/>
        <v>0</v>
      </c>
      <c r="M65" s="40"/>
      <c r="N65" s="40"/>
      <c r="O65" s="40"/>
      <c r="P65" s="56">
        <f t="shared" si="7"/>
        <v>0</v>
      </c>
      <c r="Q65" s="46">
        <f t="shared" si="10"/>
        <v>0</v>
      </c>
      <c r="R65" s="46">
        <f t="shared" si="9"/>
        <v>0</v>
      </c>
    </row>
    <row r="66" spans="1:18" ht="15" x14ac:dyDescent="0.25">
      <c r="A66" s="21"/>
      <c r="B66" s="90"/>
      <c r="C66" s="91"/>
      <c r="D66" s="91"/>
      <c r="E66" s="91"/>
      <c r="F66" s="30" t="s">
        <v>11</v>
      </c>
      <c r="G66" s="27">
        <f>SUM(G58:G65)</f>
        <v>0</v>
      </c>
      <c r="H66" s="27">
        <f>SUM(H58:H65)</f>
        <v>0</v>
      </c>
      <c r="I66" s="27">
        <f>SUM(I58:I65)</f>
        <v>0</v>
      </c>
      <c r="J66" s="27"/>
      <c r="K66" s="27"/>
      <c r="L66" s="53">
        <f>SUM(L58:L65)</f>
        <v>0</v>
      </c>
      <c r="M66" s="27">
        <f>ROUND(SUM(M58:M65),0)</f>
        <v>0</v>
      </c>
      <c r="N66" s="27"/>
      <c r="O66" s="27"/>
      <c r="P66" s="53">
        <f>SUM(P58:P65)</f>
        <v>0</v>
      </c>
      <c r="Q66" s="46">
        <f>SUM(Q58:Q65)</f>
        <v>0</v>
      </c>
      <c r="R66" s="27">
        <f>SUM(R58:R65)</f>
        <v>0</v>
      </c>
    </row>
    <row r="67" spans="1:18" x14ac:dyDescent="0.2">
      <c r="B67" s="32"/>
      <c r="C67" s="20"/>
      <c r="D67" s="20"/>
      <c r="E67" s="31"/>
      <c r="F67" s="20"/>
      <c r="L67" s="54"/>
      <c r="P67" s="54"/>
    </row>
    <row r="68" spans="1:18" ht="14.25" customHeight="1" x14ac:dyDescent="0.2">
      <c r="A68" s="21"/>
      <c r="B68" s="84" t="s">
        <v>27</v>
      </c>
      <c r="C68" s="85"/>
      <c r="D68" s="85"/>
      <c r="E68" s="86"/>
      <c r="F68" s="93" t="s">
        <v>40</v>
      </c>
      <c r="G68" s="71" t="s">
        <v>37</v>
      </c>
      <c r="H68" s="71" t="s">
        <v>38</v>
      </c>
      <c r="I68" s="71" t="s">
        <v>22</v>
      </c>
      <c r="J68" s="83" t="s">
        <v>6</v>
      </c>
      <c r="K68" s="83" t="s">
        <v>23</v>
      </c>
      <c r="L68" s="81" t="s">
        <v>7</v>
      </c>
      <c r="M68" s="83" t="s">
        <v>24</v>
      </c>
      <c r="N68" s="83" t="s">
        <v>6</v>
      </c>
      <c r="O68" s="83" t="s">
        <v>23</v>
      </c>
      <c r="P68" s="81" t="s">
        <v>7</v>
      </c>
      <c r="Q68" s="83" t="s">
        <v>25</v>
      </c>
      <c r="R68" s="71" t="s">
        <v>39</v>
      </c>
    </row>
    <row r="69" spans="1:18" ht="14.25" customHeight="1" x14ac:dyDescent="0.2">
      <c r="A69" s="21"/>
      <c r="B69" s="87"/>
      <c r="C69" s="88"/>
      <c r="D69" s="88"/>
      <c r="E69" s="89"/>
      <c r="F69" s="94"/>
      <c r="G69" s="72"/>
      <c r="H69" s="72"/>
      <c r="I69" s="72"/>
      <c r="J69" s="74"/>
      <c r="K69" s="74"/>
      <c r="L69" s="82"/>
      <c r="M69" s="74"/>
      <c r="N69" s="74"/>
      <c r="O69" s="74"/>
      <c r="P69" s="82"/>
      <c r="Q69" s="74"/>
      <c r="R69" s="72"/>
    </row>
    <row r="70" spans="1:18" x14ac:dyDescent="0.2">
      <c r="A70" s="21"/>
      <c r="B70" s="87"/>
      <c r="C70" s="88"/>
      <c r="D70" s="88"/>
      <c r="E70" s="89"/>
      <c r="F70" s="29" t="s">
        <v>9</v>
      </c>
      <c r="G70" s="40">
        <f>+R58+R59</f>
        <v>0</v>
      </c>
      <c r="H70" s="46"/>
      <c r="I70" s="40"/>
      <c r="J70" s="40"/>
      <c r="K70" s="41"/>
      <c r="L70" s="52">
        <f t="shared" ref="L70:L77" si="11">I70*J70*K70</f>
        <v>0</v>
      </c>
      <c r="M70" s="40"/>
      <c r="N70" s="40"/>
      <c r="O70" s="40"/>
      <c r="P70" s="56">
        <f t="shared" ref="P70:P77" si="12">M70*N70*O70</f>
        <v>0</v>
      </c>
      <c r="Q70" s="46">
        <f t="shared" ref="Q70:Q71" si="13">ROUND((G70+H70+I70-M70)*$R$41,0)</f>
        <v>0</v>
      </c>
      <c r="R70" s="46">
        <f>ROUND(G70+H70+I70-M70-Q70,0)</f>
        <v>0</v>
      </c>
    </row>
    <row r="71" spans="1:18" x14ac:dyDescent="0.2">
      <c r="A71" s="21"/>
      <c r="B71" s="87"/>
      <c r="C71" s="88"/>
      <c r="D71" s="88"/>
      <c r="E71" s="89"/>
      <c r="F71" s="29" t="s">
        <v>36</v>
      </c>
      <c r="G71" s="40">
        <f>+R60</f>
        <v>0</v>
      </c>
      <c r="H71" s="46"/>
      <c r="I71" s="40"/>
      <c r="J71" s="40"/>
      <c r="K71" s="40"/>
      <c r="L71" s="52">
        <f t="shared" si="11"/>
        <v>0</v>
      </c>
      <c r="M71" s="40"/>
      <c r="N71" s="40"/>
      <c r="O71" s="40"/>
      <c r="P71" s="56">
        <f t="shared" si="12"/>
        <v>0</v>
      </c>
      <c r="Q71" s="46">
        <f t="shared" si="13"/>
        <v>0</v>
      </c>
      <c r="R71" s="46">
        <f t="shared" ref="R71:R77" si="14">ROUND(G71+H71+I71-M71-Q71,0)</f>
        <v>0</v>
      </c>
    </row>
    <row r="72" spans="1:18" x14ac:dyDescent="0.2">
      <c r="A72" s="21"/>
      <c r="B72" s="87"/>
      <c r="C72" s="88"/>
      <c r="D72" s="88"/>
      <c r="E72" s="89"/>
      <c r="F72" s="29" t="s">
        <v>32</v>
      </c>
      <c r="G72" s="40">
        <f>+ROUND(R61/2,0)</f>
        <v>0</v>
      </c>
      <c r="H72" s="46"/>
      <c r="I72" s="40"/>
      <c r="J72" s="40"/>
      <c r="K72" s="40"/>
      <c r="L72" s="52">
        <f t="shared" si="11"/>
        <v>0</v>
      </c>
      <c r="M72" s="40"/>
      <c r="N72" s="40"/>
      <c r="O72" s="40"/>
      <c r="P72" s="56">
        <f t="shared" si="12"/>
        <v>0</v>
      </c>
      <c r="Q72" s="46">
        <f>ROUND((G72+H72+I72-M72)*$R$41,0)</f>
        <v>0</v>
      </c>
      <c r="R72" s="46">
        <f t="shared" si="14"/>
        <v>0</v>
      </c>
    </row>
    <row r="73" spans="1:18" x14ac:dyDescent="0.2">
      <c r="A73" s="21"/>
      <c r="B73" s="87"/>
      <c r="C73" s="88"/>
      <c r="D73" s="88"/>
      <c r="E73" s="89"/>
      <c r="F73" s="29" t="s">
        <v>10</v>
      </c>
      <c r="G73" s="40"/>
      <c r="H73" s="46">
        <f>ROUND(((G70*$R$39))+((G71*$R$40)),0)</f>
        <v>0</v>
      </c>
      <c r="I73" s="40"/>
      <c r="J73" s="40"/>
      <c r="K73" s="40"/>
      <c r="L73" s="52">
        <f t="shared" si="11"/>
        <v>0</v>
      </c>
      <c r="M73" s="40"/>
      <c r="N73" s="40"/>
      <c r="O73" s="40"/>
      <c r="P73" s="56">
        <f t="shared" si="12"/>
        <v>0</v>
      </c>
      <c r="Q73" s="46">
        <f t="shared" ref="Q73:Q77" si="15">ROUND((G73+H73+I73-M73)*$R$41,0)</f>
        <v>0</v>
      </c>
      <c r="R73" s="46">
        <f>ROUND(G73+H73+I73-M73-Q73,0)</f>
        <v>0</v>
      </c>
    </row>
    <row r="74" spans="1:18" x14ac:dyDescent="0.2">
      <c r="A74" s="21"/>
      <c r="B74" s="87"/>
      <c r="C74" s="88"/>
      <c r="D74" s="88"/>
      <c r="E74" s="89"/>
      <c r="F74" s="29" t="s">
        <v>33</v>
      </c>
      <c r="G74" s="40">
        <f>+R61-G72</f>
        <v>0</v>
      </c>
      <c r="H74" s="46"/>
      <c r="I74" s="40"/>
      <c r="J74" s="40"/>
      <c r="K74" s="40"/>
      <c r="L74" s="52">
        <f t="shared" si="11"/>
        <v>0</v>
      </c>
      <c r="M74" s="40"/>
      <c r="N74" s="40"/>
      <c r="O74" s="40"/>
      <c r="P74" s="56">
        <f t="shared" si="12"/>
        <v>0</v>
      </c>
      <c r="Q74" s="46">
        <f t="shared" si="15"/>
        <v>0</v>
      </c>
      <c r="R74" s="46">
        <f>ROUND(G74+H74+I74-M74-Q74,0)</f>
        <v>0</v>
      </c>
    </row>
    <row r="75" spans="1:18" x14ac:dyDescent="0.2">
      <c r="A75" s="21"/>
      <c r="B75" s="87"/>
      <c r="C75" s="88"/>
      <c r="D75" s="88"/>
      <c r="E75" s="89"/>
      <c r="F75" s="29" t="s">
        <v>14</v>
      </c>
      <c r="G75" s="40">
        <f>+R62</f>
        <v>0</v>
      </c>
      <c r="H75" s="46"/>
      <c r="I75" s="40"/>
      <c r="J75" s="40"/>
      <c r="K75" s="40"/>
      <c r="L75" s="52">
        <f t="shared" si="11"/>
        <v>0</v>
      </c>
      <c r="M75" s="40"/>
      <c r="N75" s="40"/>
      <c r="O75" s="40"/>
      <c r="P75" s="56">
        <f t="shared" si="12"/>
        <v>0</v>
      </c>
      <c r="Q75" s="46">
        <f t="shared" si="15"/>
        <v>0</v>
      </c>
      <c r="R75" s="46">
        <f t="shared" si="14"/>
        <v>0</v>
      </c>
    </row>
    <row r="76" spans="1:18" x14ac:dyDescent="0.2">
      <c r="A76" s="21"/>
      <c r="B76" s="87"/>
      <c r="C76" s="88"/>
      <c r="D76" s="88"/>
      <c r="E76" s="89"/>
      <c r="F76" s="29" t="s">
        <v>15</v>
      </c>
      <c r="G76" s="40">
        <f>R63+R64</f>
        <v>0</v>
      </c>
      <c r="H76" s="46"/>
      <c r="I76" s="40"/>
      <c r="J76" s="40"/>
      <c r="K76" s="40"/>
      <c r="L76" s="52">
        <f t="shared" si="11"/>
        <v>0</v>
      </c>
      <c r="M76" s="40"/>
      <c r="N76" s="40"/>
      <c r="O76" s="40"/>
      <c r="P76" s="56">
        <f t="shared" si="12"/>
        <v>0</v>
      </c>
      <c r="Q76" s="46">
        <f t="shared" si="15"/>
        <v>0</v>
      </c>
      <c r="R76" s="46">
        <f t="shared" si="14"/>
        <v>0</v>
      </c>
    </row>
    <row r="77" spans="1:18" x14ac:dyDescent="0.2">
      <c r="A77" s="21"/>
      <c r="B77" s="87"/>
      <c r="C77" s="88"/>
      <c r="D77" s="88"/>
      <c r="E77" s="89"/>
      <c r="F77" s="29" t="s">
        <v>16</v>
      </c>
      <c r="G77" s="40">
        <f>+R65</f>
        <v>0</v>
      </c>
      <c r="H77" s="46"/>
      <c r="I77" s="40"/>
      <c r="J77" s="40"/>
      <c r="K77" s="40"/>
      <c r="L77" s="52">
        <f t="shared" si="11"/>
        <v>0</v>
      </c>
      <c r="M77" s="40"/>
      <c r="N77" s="40"/>
      <c r="O77" s="40"/>
      <c r="P77" s="56">
        <f t="shared" si="12"/>
        <v>0</v>
      </c>
      <c r="Q77" s="46">
        <f t="shared" si="15"/>
        <v>0</v>
      </c>
      <c r="R77" s="46">
        <f t="shared" si="14"/>
        <v>0</v>
      </c>
    </row>
    <row r="78" spans="1:18" ht="15" x14ac:dyDescent="0.25">
      <c r="A78" s="21"/>
      <c r="B78" s="90"/>
      <c r="C78" s="91"/>
      <c r="D78" s="91"/>
      <c r="E78" s="92"/>
      <c r="F78" s="30" t="s">
        <v>11</v>
      </c>
      <c r="G78" s="27">
        <f>SUM(G70:G77)</f>
        <v>0</v>
      </c>
      <c r="H78" s="27">
        <f>SUM(H70:H77)</f>
        <v>0</v>
      </c>
      <c r="I78" s="27">
        <f>SUM(I70:I77)</f>
        <v>0</v>
      </c>
      <c r="J78" s="27"/>
      <c r="K78" s="27"/>
      <c r="L78" s="53">
        <f>SUM(L70:L77)</f>
        <v>0</v>
      </c>
      <c r="M78" s="27">
        <f>ROUND(SUM(M70:M77),0)</f>
        <v>0</v>
      </c>
      <c r="N78" s="27"/>
      <c r="O78" s="27"/>
      <c r="P78" s="53">
        <f>SUM(P70:P77)</f>
        <v>0</v>
      </c>
      <c r="Q78" s="46">
        <f>SUM(Q70:Q77)</f>
        <v>0</v>
      </c>
      <c r="R78" s="27">
        <f>SUM(R70:R77)</f>
        <v>0</v>
      </c>
    </row>
    <row r="79" spans="1:18" x14ac:dyDescent="0.2">
      <c r="Q79" s="34"/>
    </row>
    <row r="80" spans="1:18" x14ac:dyDescent="0.2">
      <c r="Q80" s="32"/>
    </row>
  </sheetData>
  <sheetProtection algorithmName="SHA-512" hashValue="zbwwXbTvX4PxzVjJHiRKkR+bbLKLfUq2wM8D1F4k20PIj/nkn+Qu/SRBzXoB7iLFbj8ReEz5R090tl8/E6scQw==" saltValue="snwhqqvfdeJ+m77aQtbgaA==" spinCount="100000" sheet="1" objects="1" scenarios="1"/>
  <protectedRanges>
    <protectedRange sqref="R39:R40" name="Range1"/>
  </protectedRanges>
  <mergeCells count="98">
    <mergeCell ref="P39:Q39"/>
    <mergeCell ref="P40:Q40"/>
    <mergeCell ref="B6:D6"/>
    <mergeCell ref="E6:E42"/>
    <mergeCell ref="F6:M6"/>
    <mergeCell ref="B7:B8"/>
    <mergeCell ref="C7:C8"/>
    <mergeCell ref="G7:G8"/>
    <mergeCell ref="H7:J7"/>
    <mergeCell ref="F7:F12"/>
    <mergeCell ref="F14:F17"/>
    <mergeCell ref="F19:F24"/>
    <mergeCell ref="F26:F29"/>
    <mergeCell ref="F31:F36"/>
    <mergeCell ref="F38:F41"/>
    <mergeCell ref="B18:B20"/>
    <mergeCell ref="K7:M7"/>
    <mergeCell ref="B12:B14"/>
    <mergeCell ref="C12:C14"/>
    <mergeCell ref="H31:J31"/>
    <mergeCell ref="G19:G20"/>
    <mergeCell ref="H19:J19"/>
    <mergeCell ref="K31:M31"/>
    <mergeCell ref="D33:D35"/>
    <mergeCell ref="K19:M19"/>
    <mergeCell ref="B21:B23"/>
    <mergeCell ref="C21:C23"/>
    <mergeCell ref="B24:B26"/>
    <mergeCell ref="C24:C26"/>
    <mergeCell ref="B33:B35"/>
    <mergeCell ref="C33:C35"/>
    <mergeCell ref="B27:B29"/>
    <mergeCell ref="C27:C29"/>
    <mergeCell ref="B30:B32"/>
    <mergeCell ref="C30:C32"/>
    <mergeCell ref="C18:C20"/>
    <mergeCell ref="B44:E54"/>
    <mergeCell ref="F44:F45"/>
    <mergeCell ref="G44:G45"/>
    <mergeCell ref="D9:D11"/>
    <mergeCell ref="D12:D14"/>
    <mergeCell ref="D15:D17"/>
    <mergeCell ref="D18:D20"/>
    <mergeCell ref="D21:D23"/>
    <mergeCell ref="D24:D26"/>
    <mergeCell ref="D27:D29"/>
    <mergeCell ref="D30:D32"/>
    <mergeCell ref="G31:G32"/>
    <mergeCell ref="B15:B17"/>
    <mergeCell ref="C15:C17"/>
    <mergeCell ref="B9:B11"/>
    <mergeCell ref="C9:C11"/>
    <mergeCell ref="P44:P45"/>
    <mergeCell ref="Q44:Q45"/>
    <mergeCell ref="R44:R45"/>
    <mergeCell ref="B56:E66"/>
    <mergeCell ref="F56:F57"/>
    <mergeCell ref="G56:G57"/>
    <mergeCell ref="H56:H57"/>
    <mergeCell ref="I56:I57"/>
    <mergeCell ref="H44:H45"/>
    <mergeCell ref="I44:I45"/>
    <mergeCell ref="J44:J45"/>
    <mergeCell ref="K44:K45"/>
    <mergeCell ref="L44:L45"/>
    <mergeCell ref="M44:M45"/>
    <mergeCell ref="M56:M57"/>
    <mergeCell ref="N56:N57"/>
    <mergeCell ref="N44:N45"/>
    <mergeCell ref="O44:O45"/>
    <mergeCell ref="J68:J69"/>
    <mergeCell ref="K68:K69"/>
    <mergeCell ref="J56:J57"/>
    <mergeCell ref="K56:K57"/>
    <mergeCell ref="L56:L57"/>
    <mergeCell ref="R56:R57"/>
    <mergeCell ref="B68:E78"/>
    <mergeCell ref="F68:F69"/>
    <mergeCell ref="G68:G69"/>
    <mergeCell ref="H68:H69"/>
    <mergeCell ref="I68:I69"/>
    <mergeCell ref="O56:O57"/>
    <mergeCell ref="P38:R38"/>
    <mergeCell ref="B4:R4"/>
    <mergeCell ref="R68:R69"/>
    <mergeCell ref="D7:D8"/>
    <mergeCell ref="B38:C39"/>
    <mergeCell ref="B40:C41"/>
    <mergeCell ref="D38:D39"/>
    <mergeCell ref="D40:D41"/>
    <mergeCell ref="L68:L69"/>
    <mergeCell ref="M68:M69"/>
    <mergeCell ref="N68:N69"/>
    <mergeCell ref="O68:O69"/>
    <mergeCell ref="P68:P69"/>
    <mergeCell ref="Q68:Q69"/>
    <mergeCell ref="P56:P57"/>
    <mergeCell ref="Q56:Q57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3C2BB763F7DA42BD0E4A75BAD6A164" ma:contentTypeVersion="13" ma:contentTypeDescription="Create a new document." ma:contentTypeScope="" ma:versionID="8cd2d90bdf7289e1faec16c309b6775c">
  <xsd:schema xmlns:xsd="http://www.w3.org/2001/XMLSchema" xmlns:xs="http://www.w3.org/2001/XMLSchema" xmlns:p="http://schemas.microsoft.com/office/2006/metadata/properties" xmlns:ns2="db16456a-ed7d-4559-b9a0-3ab3dc2a1ed9" xmlns:ns3="a55a61ad-80ee-4a9a-88e8-68b063562e53" targetNamespace="http://schemas.microsoft.com/office/2006/metadata/properties" ma:root="true" ma:fieldsID="60491363ae9f28cb8e43ba2c02a541ca" ns2:_="" ns3:_="">
    <xsd:import namespace="db16456a-ed7d-4559-b9a0-3ab3dc2a1ed9"/>
    <xsd:import namespace="a55a61ad-80ee-4a9a-88e8-68b063562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Imageu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6456a-ed7d-4559-b9a0-3ab3dc2a1e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Imageuse" ma:index="20" nillable="true" ma:displayName="Image use" ma:description="Pages wher this image could be used" ma:format="Dropdown" ma:internalName="Imageu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a61ad-80ee-4a9a-88e8-68b063562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use xmlns="db16456a-ed7d-4559-b9a0-3ab3dc2a1ed9" xsi:nil="true"/>
  </documentManagement>
</p:properties>
</file>

<file path=customXml/itemProps1.xml><?xml version="1.0" encoding="utf-8"?>
<ds:datastoreItem xmlns:ds="http://schemas.openxmlformats.org/officeDocument/2006/customXml" ds:itemID="{6AA19B0D-86CC-48F2-AD79-CF970622F268}"/>
</file>

<file path=customXml/itemProps2.xml><?xml version="1.0" encoding="utf-8"?>
<ds:datastoreItem xmlns:ds="http://schemas.openxmlformats.org/officeDocument/2006/customXml" ds:itemID="{98BE3B85-45FE-4C8F-838D-7EFADF7681D9}"/>
</file>

<file path=customXml/itemProps3.xml><?xml version="1.0" encoding="utf-8"?>
<ds:datastoreItem xmlns:ds="http://schemas.openxmlformats.org/officeDocument/2006/customXml" ds:itemID="{798E06AD-1DD5-42C9-9BA3-308A069A79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Cattle Production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Corrie Feldman</dc:creator>
  <cp:lastModifiedBy>Jessica Miller</cp:lastModifiedBy>
  <cp:lastPrinted>2020-01-23T02:32:04Z</cp:lastPrinted>
  <dcterms:created xsi:type="dcterms:W3CDTF">2020-01-23T02:27:17Z</dcterms:created>
  <dcterms:modified xsi:type="dcterms:W3CDTF">2020-08-06T06:10:56Z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0x010100CF3C2BB763F7DA42BD0E4A75BAD6A164</vt:lpwstr>
  </property>
</Properties>
</file>